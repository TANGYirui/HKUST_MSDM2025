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My Documents\tea\msdm5003\notes23\Week07\"/>
    </mc:Choice>
  </mc:AlternateContent>
  <xr:revisionPtr revIDLastSave="0" documentId="13_ncr:1_{7693068B-312D-4C30-98E2-38153091A31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Eigencalcs" sheetId="6" r:id="rId1"/>
    <sheet name="PCA" sheetId="8" r:id="rId2"/>
    <sheet name="Backtest" sheetId="9" r:id="rId3"/>
  </sheets>
  <functionGroups builtInGroupCount="19"/>
  <definedNames>
    <definedName name="anscount" hidden="1">2</definedName>
    <definedName name="Lambda">#REF!</definedName>
    <definedName name="limcount" hidden="1">1</definedName>
    <definedName name="M">#REF!</definedName>
    <definedName name="sencount" hidden="1">2</definedName>
    <definedName name="tranmat">#REF!</definedName>
    <definedName name="TransMat">#REF!</definedName>
    <definedName name="Vec">#REF!</definedName>
    <definedName name="VecTran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4" i="9" l="1"/>
  <c r="AH4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E6" i="9"/>
  <c r="AE7" i="9"/>
  <c r="AE8" i="9"/>
  <c r="AE9" i="9"/>
  <c r="AK9" i="9" s="1"/>
  <c r="AE10" i="9"/>
  <c r="AE11" i="9"/>
  <c r="AE12" i="9"/>
  <c r="AE13" i="9"/>
  <c r="AK13" i="9" s="1"/>
  <c r="AE14" i="9"/>
  <c r="AE15" i="9"/>
  <c r="AE16" i="9"/>
  <c r="AE17" i="9"/>
  <c r="AK17" i="9" s="1"/>
  <c r="AE18" i="9"/>
  <c r="AE19" i="9"/>
  <c r="AE20" i="9"/>
  <c r="AE21" i="9"/>
  <c r="AK21" i="9" s="1"/>
  <c r="AE22" i="9"/>
  <c r="AE23" i="9"/>
  <c r="AE24" i="9"/>
  <c r="AE25" i="9"/>
  <c r="AE26" i="9"/>
  <c r="AE27" i="9"/>
  <c r="AE28" i="9"/>
  <c r="AE29" i="9"/>
  <c r="AK29" i="9" s="1"/>
  <c r="AE30" i="9"/>
  <c r="AE31" i="9"/>
  <c r="AE32" i="9"/>
  <c r="AE33" i="9"/>
  <c r="AK33" i="9" s="1"/>
  <c r="AE34" i="9"/>
  <c r="AE35" i="9"/>
  <c r="AE36" i="9"/>
  <c r="AE37" i="9"/>
  <c r="AE38" i="9"/>
  <c r="AE39" i="9"/>
  <c r="AE40" i="9"/>
  <c r="AE41" i="9"/>
  <c r="AK41" i="9" s="1"/>
  <c r="AE42" i="9"/>
  <c r="AE43" i="9"/>
  <c r="AE44" i="9"/>
  <c r="AE45" i="9"/>
  <c r="AE46" i="9"/>
  <c r="AE47" i="9"/>
  <c r="AE48" i="9"/>
  <c r="AE49" i="9"/>
  <c r="AK48" i="9" s="1"/>
  <c r="AE50" i="9"/>
  <c r="AE51" i="9"/>
  <c r="AE52" i="9"/>
  <c r="AE53" i="9"/>
  <c r="AK53" i="9" s="1"/>
  <c r="AE54" i="9"/>
  <c r="AE55" i="9"/>
  <c r="AE56" i="9"/>
  <c r="AE57" i="9"/>
  <c r="AK56" i="9" s="1"/>
  <c r="AE58" i="9"/>
  <c r="AE59" i="9"/>
  <c r="AE60" i="9"/>
  <c r="AE61" i="9"/>
  <c r="AK60" i="9" s="1"/>
  <c r="AE62" i="9"/>
  <c r="AE63" i="9"/>
  <c r="AE64" i="9"/>
  <c r="AE65" i="9"/>
  <c r="AK65" i="9" s="1"/>
  <c r="AE66" i="9"/>
  <c r="AE67" i="9"/>
  <c r="AE68" i="9"/>
  <c r="AE69" i="9"/>
  <c r="AK69" i="9" s="1"/>
  <c r="AE70" i="9"/>
  <c r="AE71" i="9"/>
  <c r="AE72" i="9"/>
  <c r="AE73" i="9"/>
  <c r="AK72" i="9" s="1"/>
  <c r="AE74" i="9"/>
  <c r="AE75" i="9"/>
  <c r="AE76" i="9"/>
  <c r="AE77" i="9"/>
  <c r="AE78" i="9"/>
  <c r="AE79" i="9"/>
  <c r="AE80" i="9"/>
  <c r="AE81" i="9"/>
  <c r="AE82" i="9"/>
  <c r="AE83" i="9"/>
  <c r="AE84" i="9"/>
  <c r="AE85" i="9"/>
  <c r="AK84" i="9" s="1"/>
  <c r="AE86" i="9"/>
  <c r="AE87" i="9"/>
  <c r="AE88" i="9"/>
  <c r="AE89" i="9"/>
  <c r="AK88" i="9" s="1"/>
  <c r="AE90" i="9"/>
  <c r="AE91" i="9"/>
  <c r="AE92" i="9"/>
  <c r="AE93" i="9"/>
  <c r="AK92" i="9" s="1"/>
  <c r="AE94" i="9"/>
  <c r="AE95" i="9"/>
  <c r="AE96" i="9"/>
  <c r="AE97" i="9"/>
  <c r="AE98" i="9"/>
  <c r="AE99" i="9"/>
  <c r="AE100" i="9"/>
  <c r="AE101" i="9"/>
  <c r="AK100" i="9" s="1"/>
  <c r="AE102" i="9"/>
  <c r="AE103" i="9"/>
  <c r="AE104" i="9"/>
  <c r="AE105" i="9"/>
  <c r="AK105" i="9" s="1"/>
  <c r="AE106" i="9"/>
  <c r="AE107" i="9"/>
  <c r="AE108" i="9"/>
  <c r="AE109" i="9"/>
  <c r="AK109" i="9" s="1"/>
  <c r="AE110" i="9"/>
  <c r="AE111" i="9"/>
  <c r="AE112" i="9"/>
  <c r="AE113" i="9"/>
  <c r="AE114" i="9"/>
  <c r="AE115" i="9"/>
  <c r="AE116" i="9"/>
  <c r="AE117" i="9"/>
  <c r="AK116" i="9" s="1"/>
  <c r="AE118" i="9"/>
  <c r="AE119" i="9"/>
  <c r="AE120" i="9"/>
  <c r="AE121" i="9"/>
  <c r="AK121" i="9" s="1"/>
  <c r="AE122" i="9"/>
  <c r="AE123" i="9"/>
  <c r="AE124" i="9"/>
  <c r="AE125" i="9"/>
  <c r="AK124" i="9" s="1"/>
  <c r="AE126" i="9"/>
  <c r="AE127" i="9"/>
  <c r="AE128" i="9"/>
  <c r="AE129" i="9"/>
  <c r="AK129" i="9" s="1"/>
  <c r="AE130" i="9"/>
  <c r="AE131" i="9"/>
  <c r="AE132" i="9"/>
  <c r="AE133" i="9"/>
  <c r="AK132" i="9" s="1"/>
  <c r="AE134" i="9"/>
  <c r="AE135" i="9"/>
  <c r="AE136" i="9"/>
  <c r="AE137" i="9"/>
  <c r="AK137" i="9" s="1"/>
  <c r="AE138" i="9"/>
  <c r="AE139" i="9"/>
  <c r="AE140" i="9"/>
  <c r="AE141" i="9"/>
  <c r="AK140" i="9" s="1"/>
  <c r="AE142" i="9"/>
  <c r="AE143" i="9"/>
  <c r="AE144" i="9"/>
  <c r="AE145" i="9"/>
  <c r="AE146" i="9"/>
  <c r="AE147" i="9"/>
  <c r="AE148" i="9"/>
  <c r="AE149" i="9"/>
  <c r="AK149" i="9" s="1"/>
  <c r="AE150" i="9"/>
  <c r="AE151" i="9"/>
  <c r="AE152" i="9"/>
  <c r="AE153" i="9"/>
  <c r="AK153" i="9" s="1"/>
  <c r="AE154" i="9"/>
  <c r="AE155" i="9"/>
  <c r="AE156" i="9"/>
  <c r="AE157" i="9"/>
  <c r="AK157" i="9" s="1"/>
  <c r="AE158" i="9"/>
  <c r="AE159" i="9"/>
  <c r="AE160" i="9"/>
  <c r="AE161" i="9"/>
  <c r="AK160" i="9" s="1"/>
  <c r="AE162" i="9"/>
  <c r="AE163" i="9"/>
  <c r="AE164" i="9"/>
  <c r="AE165" i="9"/>
  <c r="AK165" i="9" s="1"/>
  <c r="AE166" i="9"/>
  <c r="AE167" i="9"/>
  <c r="AE168" i="9"/>
  <c r="AE169" i="9"/>
  <c r="AK169" i="9" s="1"/>
  <c r="AE170" i="9"/>
  <c r="AE171" i="9"/>
  <c r="AE172" i="9"/>
  <c r="AE173" i="9"/>
  <c r="AK173" i="9" s="1"/>
  <c r="AE174" i="9"/>
  <c r="AE175" i="9"/>
  <c r="AE176" i="9"/>
  <c r="AE177" i="9"/>
  <c r="AK176" i="9" s="1"/>
  <c r="AE178" i="9"/>
  <c r="AE179" i="9"/>
  <c r="AE180" i="9"/>
  <c r="AE181" i="9"/>
  <c r="AK181" i="9" s="1"/>
  <c r="AE182" i="9"/>
  <c r="AE183" i="9"/>
  <c r="AE184" i="9"/>
  <c r="AE185" i="9"/>
  <c r="AE186" i="9"/>
  <c r="AE187" i="9"/>
  <c r="AE188" i="9"/>
  <c r="AE189" i="9"/>
  <c r="AK189" i="9" s="1"/>
  <c r="AE190" i="9"/>
  <c r="AE191" i="9"/>
  <c r="AE192" i="9"/>
  <c r="AE193" i="9"/>
  <c r="AK193" i="9" s="1"/>
  <c r="AE194" i="9"/>
  <c r="AE195" i="9"/>
  <c r="AE196" i="9"/>
  <c r="AE197" i="9"/>
  <c r="AK196" i="9" s="1"/>
  <c r="AE198" i="9"/>
  <c r="AE199" i="9"/>
  <c r="AE200" i="9"/>
  <c r="AE201" i="9"/>
  <c r="AK201" i="9" s="1"/>
  <c r="AE202" i="9"/>
  <c r="AE203" i="9"/>
  <c r="AE204" i="9"/>
  <c r="AE205" i="9"/>
  <c r="AE206" i="9"/>
  <c r="AE207" i="9"/>
  <c r="AE208" i="9"/>
  <c r="AE209" i="9"/>
  <c r="AK208" i="9" s="1"/>
  <c r="AE210" i="9"/>
  <c r="AE211" i="9"/>
  <c r="AE212" i="9"/>
  <c r="AE213" i="9"/>
  <c r="AK213" i="9" s="1"/>
  <c r="AE214" i="9"/>
  <c r="AE215" i="9"/>
  <c r="AE216" i="9"/>
  <c r="AE217" i="9"/>
  <c r="AK217" i="9" s="1"/>
  <c r="AE218" i="9"/>
  <c r="AE219" i="9"/>
  <c r="AE220" i="9"/>
  <c r="AE221" i="9"/>
  <c r="AK221" i="9" s="1"/>
  <c r="AE222" i="9"/>
  <c r="AE223" i="9"/>
  <c r="AE224" i="9"/>
  <c r="AE225" i="9"/>
  <c r="AK224" i="9" s="1"/>
  <c r="AE226" i="9"/>
  <c r="AE227" i="9"/>
  <c r="AE228" i="9"/>
  <c r="AE229" i="9"/>
  <c r="AK228" i="9" s="1"/>
  <c r="AE230" i="9"/>
  <c r="AE231" i="9"/>
  <c r="AE232" i="9"/>
  <c r="AE233" i="9"/>
  <c r="AK233" i="9" s="1"/>
  <c r="AE234" i="9"/>
  <c r="AE235" i="9"/>
  <c r="AE236" i="9"/>
  <c r="AE237" i="9"/>
  <c r="AE238" i="9"/>
  <c r="AE239" i="9"/>
  <c r="AE240" i="9"/>
  <c r="AE241" i="9"/>
  <c r="AK240" i="9" s="1"/>
  <c r="AE242" i="9"/>
  <c r="AE243" i="9"/>
  <c r="AE244" i="9"/>
  <c r="AE245" i="9"/>
  <c r="AK245" i="9" s="1"/>
  <c r="AE246" i="9"/>
  <c r="AE247" i="9"/>
  <c r="AE248" i="9"/>
  <c r="AE249" i="9"/>
  <c r="AD6" i="9"/>
  <c r="AD7" i="9"/>
  <c r="AD8" i="9"/>
  <c r="AD9" i="9"/>
  <c r="AJ8" i="9" s="1"/>
  <c r="AD10" i="9"/>
  <c r="AD11" i="9"/>
  <c r="AD12" i="9"/>
  <c r="AD13" i="9"/>
  <c r="AJ12" i="9" s="1"/>
  <c r="AD14" i="9"/>
  <c r="AD15" i="9"/>
  <c r="AD16" i="9"/>
  <c r="AD17" i="9"/>
  <c r="AJ16" i="9" s="1"/>
  <c r="AD18" i="9"/>
  <c r="AD19" i="9"/>
  <c r="AD20" i="9"/>
  <c r="AD21" i="9"/>
  <c r="AD22" i="9"/>
  <c r="AD23" i="9"/>
  <c r="AD24" i="9"/>
  <c r="AJ23" i="9" s="1"/>
  <c r="AD25" i="9"/>
  <c r="AJ24" i="9" s="1"/>
  <c r="AD26" i="9"/>
  <c r="AD27" i="9"/>
  <c r="AD28" i="9"/>
  <c r="AJ27" i="9" s="1"/>
  <c r="AD29" i="9"/>
  <c r="AJ28" i="9" s="1"/>
  <c r="AD30" i="9"/>
  <c r="AD31" i="9"/>
  <c r="AD32" i="9"/>
  <c r="AD33" i="9"/>
  <c r="AJ32" i="9" s="1"/>
  <c r="AD34" i="9"/>
  <c r="AD35" i="9"/>
  <c r="AD36" i="9"/>
  <c r="AD37" i="9"/>
  <c r="AJ36" i="9" s="1"/>
  <c r="AD38" i="9"/>
  <c r="AD39" i="9"/>
  <c r="AD40" i="9"/>
  <c r="AD41" i="9"/>
  <c r="AD42" i="9"/>
  <c r="AD43" i="9"/>
  <c r="AD44" i="9"/>
  <c r="AD45" i="9"/>
  <c r="AJ44" i="9" s="1"/>
  <c r="AD46" i="9"/>
  <c r="AD47" i="9"/>
  <c r="AD48" i="9"/>
  <c r="AJ47" i="9" s="1"/>
  <c r="AD49" i="9"/>
  <c r="AJ48" i="9" s="1"/>
  <c r="AD50" i="9"/>
  <c r="AD51" i="9"/>
  <c r="AD52" i="9"/>
  <c r="AJ51" i="9" s="1"/>
  <c r="AD53" i="9"/>
  <c r="AD54" i="9"/>
  <c r="AD55" i="9"/>
  <c r="AD56" i="9"/>
  <c r="AJ55" i="9" s="1"/>
  <c r="AD57" i="9"/>
  <c r="AJ56" i="9" s="1"/>
  <c r="AD58" i="9"/>
  <c r="AD59" i="9"/>
  <c r="AD60" i="9"/>
  <c r="AJ59" i="9" s="1"/>
  <c r="AD61" i="9"/>
  <c r="AJ60" i="9" s="1"/>
  <c r="AD62" i="9"/>
  <c r="AD63" i="9"/>
  <c r="AD64" i="9"/>
  <c r="AD65" i="9"/>
  <c r="AJ64" i="9" s="1"/>
  <c r="AD66" i="9"/>
  <c r="AD67" i="9"/>
  <c r="AD68" i="9"/>
  <c r="AD69" i="9"/>
  <c r="AJ68" i="9" s="1"/>
  <c r="AD70" i="9"/>
  <c r="AD71" i="9"/>
  <c r="AD72" i="9"/>
  <c r="AD73" i="9"/>
  <c r="AD74" i="9"/>
  <c r="AD75" i="9"/>
  <c r="AD76" i="9"/>
  <c r="AD77" i="9"/>
  <c r="AJ76" i="9" s="1"/>
  <c r="AD78" i="9"/>
  <c r="AD79" i="9"/>
  <c r="AD80" i="9"/>
  <c r="AJ79" i="9" s="1"/>
  <c r="AD81" i="9"/>
  <c r="AJ80" i="9" s="1"/>
  <c r="AD82" i="9"/>
  <c r="AD83" i="9"/>
  <c r="AD84" i="9"/>
  <c r="AJ83" i="9" s="1"/>
  <c r="AD85" i="9"/>
  <c r="AD86" i="9"/>
  <c r="AD87" i="9"/>
  <c r="AD88" i="9"/>
  <c r="AJ87" i="9" s="1"/>
  <c r="AD89" i="9"/>
  <c r="AJ88" i="9" s="1"/>
  <c r="AD90" i="9"/>
  <c r="AD91" i="9"/>
  <c r="AD92" i="9"/>
  <c r="AJ91" i="9" s="1"/>
  <c r="AD93" i="9"/>
  <c r="AJ92" i="9" s="1"/>
  <c r="AD94" i="9"/>
  <c r="AD95" i="9"/>
  <c r="AD96" i="9"/>
  <c r="AD97" i="9"/>
  <c r="AJ96" i="9" s="1"/>
  <c r="AD98" i="9"/>
  <c r="AD99" i="9"/>
  <c r="AD100" i="9"/>
  <c r="AD101" i="9"/>
  <c r="AJ100" i="9" s="1"/>
  <c r="AD102" i="9"/>
  <c r="AD103" i="9"/>
  <c r="AD104" i="9"/>
  <c r="AD105" i="9"/>
  <c r="AD106" i="9"/>
  <c r="AD107" i="9"/>
  <c r="AD108" i="9"/>
  <c r="AD109" i="9"/>
  <c r="AJ108" i="9" s="1"/>
  <c r="AD110" i="9"/>
  <c r="AD111" i="9"/>
  <c r="AD112" i="9"/>
  <c r="AJ111" i="9" s="1"/>
  <c r="AD113" i="9"/>
  <c r="AJ112" i="9" s="1"/>
  <c r="AD114" i="9"/>
  <c r="AD115" i="9"/>
  <c r="AD116" i="9"/>
  <c r="AJ115" i="9" s="1"/>
  <c r="AD117" i="9"/>
  <c r="AD118" i="9"/>
  <c r="AD119" i="9"/>
  <c r="AD120" i="9"/>
  <c r="AJ119" i="9" s="1"/>
  <c r="AD121" i="9"/>
  <c r="AJ120" i="9" s="1"/>
  <c r="AD122" i="9"/>
  <c r="AD123" i="9"/>
  <c r="AD124" i="9"/>
  <c r="AJ123" i="9" s="1"/>
  <c r="AD125" i="9"/>
  <c r="AJ124" i="9" s="1"/>
  <c r="AD126" i="9"/>
  <c r="AD127" i="9"/>
  <c r="AD128" i="9"/>
  <c r="AD129" i="9"/>
  <c r="AJ128" i="9" s="1"/>
  <c r="AD130" i="9"/>
  <c r="AD131" i="9"/>
  <c r="AD132" i="9"/>
  <c r="AD133" i="9"/>
  <c r="AJ132" i="9" s="1"/>
  <c r="AD134" i="9"/>
  <c r="AD135" i="9"/>
  <c r="AD136" i="9"/>
  <c r="AJ135" i="9" s="1"/>
  <c r="AD137" i="9"/>
  <c r="AJ136" i="9" s="1"/>
  <c r="AD138" i="9"/>
  <c r="AD139" i="9"/>
  <c r="AD140" i="9"/>
  <c r="AD141" i="9"/>
  <c r="AJ140" i="9" s="1"/>
  <c r="AD142" i="9"/>
  <c r="AD143" i="9"/>
  <c r="AD144" i="9"/>
  <c r="AD145" i="9"/>
  <c r="AJ144" i="9" s="1"/>
  <c r="AD146" i="9"/>
  <c r="AD147" i="9"/>
  <c r="AD148" i="9"/>
  <c r="AJ147" i="9" s="1"/>
  <c r="AD149" i="9"/>
  <c r="AJ148" i="9" s="1"/>
  <c r="AD150" i="9"/>
  <c r="AD151" i="9"/>
  <c r="AD152" i="9"/>
  <c r="AJ151" i="9" s="1"/>
  <c r="AD153" i="9"/>
  <c r="AJ152" i="9" s="1"/>
  <c r="AD154" i="9"/>
  <c r="AD155" i="9"/>
  <c r="AD156" i="9"/>
  <c r="AD157" i="9"/>
  <c r="AD158" i="9"/>
  <c r="AD159" i="9"/>
  <c r="AD160" i="9"/>
  <c r="AD161" i="9"/>
  <c r="AJ160" i="9" s="1"/>
  <c r="AD162" i="9"/>
  <c r="AD163" i="9"/>
  <c r="AD164" i="9"/>
  <c r="AD165" i="9"/>
  <c r="AJ164" i="9" s="1"/>
  <c r="AD166" i="9"/>
  <c r="AD167" i="9"/>
  <c r="AD168" i="9"/>
  <c r="AJ167" i="9" s="1"/>
  <c r="AD169" i="9"/>
  <c r="AJ168" i="9" s="1"/>
  <c r="AD170" i="9"/>
  <c r="AD171" i="9"/>
  <c r="AD172" i="9"/>
  <c r="AD173" i="9"/>
  <c r="AJ172" i="9" s="1"/>
  <c r="AD174" i="9"/>
  <c r="AD175" i="9"/>
  <c r="AD176" i="9"/>
  <c r="AD177" i="9"/>
  <c r="AD178" i="9"/>
  <c r="AD179" i="9"/>
  <c r="AD180" i="9"/>
  <c r="AD181" i="9"/>
  <c r="AD182" i="9"/>
  <c r="AD183" i="9"/>
  <c r="AD184" i="9"/>
  <c r="AJ183" i="9" s="1"/>
  <c r="AD185" i="9"/>
  <c r="AJ184" i="9" s="1"/>
  <c r="AD186" i="9"/>
  <c r="AD187" i="9"/>
  <c r="AD188" i="9"/>
  <c r="AD189" i="9"/>
  <c r="AJ188" i="9" s="1"/>
  <c r="AD190" i="9"/>
  <c r="AD191" i="9"/>
  <c r="AD192" i="9"/>
  <c r="AD193" i="9"/>
  <c r="AJ192" i="9" s="1"/>
  <c r="AD194" i="9"/>
  <c r="AD195" i="9"/>
  <c r="AD196" i="9"/>
  <c r="AD197" i="9"/>
  <c r="AD198" i="9"/>
  <c r="AD199" i="9"/>
  <c r="AD200" i="9"/>
  <c r="AD201" i="9"/>
  <c r="AJ200" i="9" s="1"/>
  <c r="AD202" i="9"/>
  <c r="AD203" i="9"/>
  <c r="AD204" i="9"/>
  <c r="AD205" i="9"/>
  <c r="AJ204" i="9" s="1"/>
  <c r="AD206" i="9"/>
  <c r="AD207" i="9"/>
  <c r="AD208" i="9"/>
  <c r="AD209" i="9"/>
  <c r="AJ208" i="9" s="1"/>
  <c r="AD210" i="9"/>
  <c r="AD211" i="9"/>
  <c r="AD212" i="9"/>
  <c r="AD213" i="9"/>
  <c r="AJ212" i="9" s="1"/>
  <c r="AD214" i="9"/>
  <c r="AD215" i="9"/>
  <c r="AD216" i="9"/>
  <c r="AD217" i="9"/>
  <c r="AD218" i="9"/>
  <c r="AD219" i="9"/>
  <c r="AD220" i="9"/>
  <c r="AD221" i="9"/>
  <c r="AJ220" i="9" s="1"/>
  <c r="AD222" i="9"/>
  <c r="AD223" i="9"/>
  <c r="AD224" i="9"/>
  <c r="AD225" i="9"/>
  <c r="AJ224" i="9" s="1"/>
  <c r="AD226" i="9"/>
  <c r="AD227" i="9"/>
  <c r="AD228" i="9"/>
  <c r="AD229" i="9"/>
  <c r="AJ228" i="9" s="1"/>
  <c r="AD230" i="9"/>
  <c r="AD231" i="9"/>
  <c r="AD232" i="9"/>
  <c r="AD233" i="9"/>
  <c r="AJ232" i="9" s="1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J244" i="9" s="1"/>
  <c r="AD246" i="9"/>
  <c r="AD247" i="9"/>
  <c r="AD248" i="9"/>
  <c r="AD249" i="9"/>
  <c r="AJ248" i="9" s="1"/>
  <c r="AC6" i="9"/>
  <c r="AC7" i="9"/>
  <c r="AC8" i="9"/>
  <c r="AC9" i="9"/>
  <c r="AC10" i="9"/>
  <c r="AC11" i="9"/>
  <c r="AC12" i="9"/>
  <c r="AC13" i="9"/>
  <c r="AC14" i="9"/>
  <c r="AC15" i="9"/>
  <c r="AC16" i="9"/>
  <c r="AC17" i="9"/>
  <c r="AC18" i="9"/>
  <c r="AC19" i="9"/>
  <c r="AC20" i="9"/>
  <c r="AC21" i="9"/>
  <c r="AC22" i="9"/>
  <c r="AC23" i="9"/>
  <c r="AC24" i="9"/>
  <c r="AC25" i="9"/>
  <c r="AC26" i="9"/>
  <c r="AC27" i="9"/>
  <c r="AC28" i="9"/>
  <c r="AC29" i="9"/>
  <c r="AC30" i="9"/>
  <c r="AC31" i="9"/>
  <c r="AC32" i="9"/>
  <c r="AC33" i="9"/>
  <c r="AC34" i="9"/>
  <c r="AC35" i="9"/>
  <c r="AC36" i="9"/>
  <c r="AC37" i="9"/>
  <c r="AC38" i="9"/>
  <c r="AC39" i="9"/>
  <c r="AC40" i="9"/>
  <c r="AC41" i="9"/>
  <c r="AC42" i="9"/>
  <c r="AC43" i="9"/>
  <c r="AC44" i="9"/>
  <c r="AC45" i="9"/>
  <c r="AC46" i="9"/>
  <c r="AC47" i="9"/>
  <c r="AC48" i="9"/>
  <c r="AC49" i="9"/>
  <c r="AC50" i="9"/>
  <c r="AC51" i="9"/>
  <c r="AC52" i="9"/>
  <c r="AC53" i="9"/>
  <c r="AC54" i="9"/>
  <c r="AC55" i="9"/>
  <c r="AC56" i="9"/>
  <c r="AC57" i="9"/>
  <c r="AC58" i="9"/>
  <c r="AC59" i="9"/>
  <c r="AC60" i="9"/>
  <c r="AC61" i="9"/>
  <c r="AC62" i="9"/>
  <c r="AC63" i="9"/>
  <c r="AC64" i="9"/>
  <c r="AC65" i="9"/>
  <c r="AC66" i="9"/>
  <c r="AC67" i="9"/>
  <c r="AC68" i="9"/>
  <c r="AC69" i="9"/>
  <c r="AC70" i="9"/>
  <c r="AC71" i="9"/>
  <c r="AC72" i="9"/>
  <c r="AC73" i="9"/>
  <c r="AC74" i="9"/>
  <c r="AC75" i="9"/>
  <c r="AC76" i="9"/>
  <c r="AC77" i="9"/>
  <c r="AC78" i="9"/>
  <c r="AC79" i="9"/>
  <c r="AC80" i="9"/>
  <c r="AC81" i="9"/>
  <c r="AC82" i="9"/>
  <c r="AC83" i="9"/>
  <c r="AC84" i="9"/>
  <c r="AC85" i="9"/>
  <c r="AC86" i="9"/>
  <c r="AC87" i="9"/>
  <c r="AC88" i="9"/>
  <c r="AC89" i="9"/>
  <c r="AC90" i="9"/>
  <c r="AC91" i="9"/>
  <c r="AC92" i="9"/>
  <c r="AC93" i="9"/>
  <c r="AC94" i="9"/>
  <c r="AC95" i="9"/>
  <c r="AC96" i="9"/>
  <c r="AC97" i="9"/>
  <c r="AC98" i="9"/>
  <c r="AC99" i="9"/>
  <c r="AC100" i="9"/>
  <c r="AC101" i="9"/>
  <c r="AC102" i="9"/>
  <c r="AC103" i="9"/>
  <c r="AC104" i="9"/>
  <c r="AC105" i="9"/>
  <c r="AC106" i="9"/>
  <c r="AC107" i="9"/>
  <c r="AC108" i="9"/>
  <c r="AC109" i="9"/>
  <c r="AC110" i="9"/>
  <c r="AC111" i="9"/>
  <c r="AC112" i="9"/>
  <c r="AC113" i="9"/>
  <c r="AC114" i="9"/>
  <c r="AC115" i="9"/>
  <c r="AC116" i="9"/>
  <c r="AC117" i="9"/>
  <c r="AC118" i="9"/>
  <c r="AC119" i="9"/>
  <c r="AC120" i="9"/>
  <c r="AC121" i="9"/>
  <c r="AC122" i="9"/>
  <c r="AC123" i="9"/>
  <c r="AC124" i="9"/>
  <c r="AC125" i="9"/>
  <c r="AC126" i="9"/>
  <c r="AC127" i="9"/>
  <c r="AC128" i="9"/>
  <c r="AC129" i="9"/>
  <c r="AC130" i="9"/>
  <c r="AC131" i="9"/>
  <c r="AC132" i="9"/>
  <c r="AC133" i="9"/>
  <c r="AC134" i="9"/>
  <c r="AC135" i="9"/>
  <c r="AC136" i="9"/>
  <c r="AC137" i="9"/>
  <c r="AC138" i="9"/>
  <c r="AC139" i="9"/>
  <c r="AC140" i="9"/>
  <c r="AC141" i="9"/>
  <c r="AC142" i="9"/>
  <c r="AC143" i="9"/>
  <c r="AC144" i="9"/>
  <c r="AC145" i="9"/>
  <c r="AC146" i="9"/>
  <c r="AC147" i="9"/>
  <c r="AC148" i="9"/>
  <c r="AC149" i="9"/>
  <c r="AC150" i="9"/>
  <c r="AC151" i="9"/>
  <c r="AC152" i="9"/>
  <c r="AC153" i="9"/>
  <c r="AC154" i="9"/>
  <c r="AC155" i="9"/>
  <c r="AC156" i="9"/>
  <c r="AC157" i="9"/>
  <c r="AC158" i="9"/>
  <c r="AC159" i="9"/>
  <c r="AC160" i="9"/>
  <c r="AC161" i="9"/>
  <c r="AC162" i="9"/>
  <c r="AC163" i="9"/>
  <c r="AC164" i="9"/>
  <c r="AC165" i="9"/>
  <c r="AC166" i="9"/>
  <c r="AC167" i="9"/>
  <c r="AC168" i="9"/>
  <c r="AC169" i="9"/>
  <c r="AC170" i="9"/>
  <c r="AC171" i="9"/>
  <c r="AC172" i="9"/>
  <c r="AC173" i="9"/>
  <c r="AC174" i="9"/>
  <c r="AC175" i="9"/>
  <c r="AC176" i="9"/>
  <c r="AC177" i="9"/>
  <c r="AC178" i="9"/>
  <c r="AC179" i="9"/>
  <c r="AC180" i="9"/>
  <c r="AC181" i="9"/>
  <c r="AC182" i="9"/>
  <c r="AC183" i="9"/>
  <c r="AC184" i="9"/>
  <c r="AC185" i="9"/>
  <c r="AC186" i="9"/>
  <c r="AC187" i="9"/>
  <c r="AC188" i="9"/>
  <c r="AC189" i="9"/>
  <c r="AC190" i="9"/>
  <c r="AC191" i="9"/>
  <c r="AC192" i="9"/>
  <c r="AC193" i="9"/>
  <c r="AC194" i="9"/>
  <c r="AC195" i="9"/>
  <c r="AC196" i="9"/>
  <c r="AC197" i="9"/>
  <c r="AC198" i="9"/>
  <c r="AC199" i="9"/>
  <c r="AC200" i="9"/>
  <c r="AC201" i="9"/>
  <c r="AC202" i="9"/>
  <c r="AC203" i="9"/>
  <c r="AC204" i="9"/>
  <c r="AC205" i="9"/>
  <c r="AC206" i="9"/>
  <c r="AC207" i="9"/>
  <c r="AC208" i="9"/>
  <c r="AC209" i="9"/>
  <c r="AC210" i="9"/>
  <c r="AC211" i="9"/>
  <c r="AC212" i="9"/>
  <c r="AC213" i="9"/>
  <c r="AC214" i="9"/>
  <c r="AC215" i="9"/>
  <c r="AC216" i="9"/>
  <c r="AC217" i="9"/>
  <c r="AC218" i="9"/>
  <c r="AC219" i="9"/>
  <c r="AC220" i="9"/>
  <c r="AC221" i="9"/>
  <c r="AC222" i="9"/>
  <c r="AC223" i="9"/>
  <c r="AC224" i="9"/>
  <c r="AC225" i="9"/>
  <c r="AC226" i="9"/>
  <c r="AC227" i="9"/>
  <c r="AC228" i="9"/>
  <c r="AC229" i="9"/>
  <c r="AC230" i="9"/>
  <c r="AC231" i="9"/>
  <c r="AC232" i="9"/>
  <c r="AC233" i="9"/>
  <c r="AC234" i="9"/>
  <c r="AC235" i="9"/>
  <c r="AC236" i="9"/>
  <c r="AC237" i="9"/>
  <c r="AC238" i="9"/>
  <c r="AC239" i="9"/>
  <c r="AC240" i="9"/>
  <c r="AC241" i="9"/>
  <c r="AC242" i="9"/>
  <c r="AC243" i="9"/>
  <c r="AC244" i="9"/>
  <c r="AC245" i="9"/>
  <c r="AC246" i="9"/>
  <c r="AC247" i="9"/>
  <c r="AC248" i="9"/>
  <c r="AC249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H21" i="9" s="1"/>
  <c r="AB22" i="9"/>
  <c r="AB23" i="9"/>
  <c r="AB24" i="9"/>
  <c r="AB25" i="9"/>
  <c r="AH25" i="9" s="1"/>
  <c r="AB26" i="9"/>
  <c r="AB27" i="9"/>
  <c r="AB28" i="9"/>
  <c r="AB29" i="9"/>
  <c r="AH29" i="9" s="1"/>
  <c r="AB30" i="9"/>
  <c r="AB31" i="9"/>
  <c r="AB32" i="9"/>
  <c r="AB33" i="9"/>
  <c r="AB34" i="9"/>
  <c r="AB35" i="9"/>
  <c r="AB36" i="9"/>
  <c r="AB37" i="9"/>
  <c r="AH37" i="9" s="1"/>
  <c r="AB38" i="9"/>
  <c r="AB39" i="9"/>
  <c r="AB40" i="9"/>
  <c r="AB41" i="9"/>
  <c r="AH41" i="9" s="1"/>
  <c r="AB42" i="9"/>
  <c r="AB43" i="9"/>
  <c r="AB44" i="9"/>
  <c r="AB45" i="9"/>
  <c r="AH45" i="9" s="1"/>
  <c r="AB46" i="9"/>
  <c r="AB47" i="9"/>
  <c r="AB48" i="9"/>
  <c r="AB49" i="9"/>
  <c r="AB50" i="9"/>
  <c r="AB51" i="9"/>
  <c r="AB52" i="9"/>
  <c r="AB53" i="9"/>
  <c r="AH53" i="9" s="1"/>
  <c r="AB54" i="9"/>
  <c r="AB55" i="9"/>
  <c r="AB56" i="9"/>
  <c r="AB57" i="9"/>
  <c r="AH57" i="9" s="1"/>
  <c r="AB58" i="9"/>
  <c r="AB59" i="9"/>
  <c r="AB60" i="9"/>
  <c r="AB61" i="9"/>
  <c r="AH61" i="9" s="1"/>
  <c r="AB62" i="9"/>
  <c r="AB63" i="9"/>
  <c r="AB64" i="9"/>
  <c r="AB65" i="9"/>
  <c r="AB66" i="9"/>
  <c r="AB67" i="9"/>
  <c r="AB68" i="9"/>
  <c r="AB69" i="9"/>
  <c r="AH69" i="9" s="1"/>
  <c r="AB70" i="9"/>
  <c r="AB71" i="9"/>
  <c r="AB72" i="9"/>
  <c r="AB73" i="9"/>
  <c r="AH73" i="9" s="1"/>
  <c r="AB74" i="9"/>
  <c r="AB75" i="9"/>
  <c r="AB76" i="9"/>
  <c r="AB77" i="9"/>
  <c r="AH77" i="9" s="1"/>
  <c r="AB78" i="9"/>
  <c r="AB79" i="9"/>
  <c r="AB80" i="9"/>
  <c r="AB81" i="9"/>
  <c r="AB82" i="9"/>
  <c r="AB83" i="9"/>
  <c r="AB84" i="9"/>
  <c r="AB85" i="9"/>
  <c r="AH85" i="9" s="1"/>
  <c r="AB86" i="9"/>
  <c r="AB87" i="9"/>
  <c r="AB88" i="9"/>
  <c r="AB89" i="9"/>
  <c r="AH89" i="9" s="1"/>
  <c r="AB90" i="9"/>
  <c r="AB91" i="9"/>
  <c r="AB92" i="9"/>
  <c r="AB93" i="9"/>
  <c r="AH93" i="9" s="1"/>
  <c r="AB94" i="9"/>
  <c r="AB95" i="9"/>
  <c r="AB96" i="9"/>
  <c r="AB97" i="9"/>
  <c r="AB98" i="9"/>
  <c r="AB99" i="9"/>
  <c r="AB100" i="9"/>
  <c r="AB101" i="9"/>
  <c r="AH101" i="9" s="1"/>
  <c r="AB102" i="9"/>
  <c r="AB103" i="9"/>
  <c r="AB104" i="9"/>
  <c r="AB105" i="9"/>
  <c r="AH105" i="9" s="1"/>
  <c r="AB106" i="9"/>
  <c r="AB107" i="9"/>
  <c r="AB108" i="9"/>
  <c r="AB109" i="9"/>
  <c r="AH109" i="9" s="1"/>
  <c r="AB110" i="9"/>
  <c r="AB111" i="9"/>
  <c r="AB112" i="9"/>
  <c r="AB113" i="9"/>
  <c r="AB114" i="9"/>
  <c r="AB115" i="9"/>
  <c r="AB116" i="9"/>
  <c r="AB117" i="9"/>
  <c r="AH117" i="9" s="1"/>
  <c r="AB118" i="9"/>
  <c r="AB119" i="9"/>
  <c r="AB120" i="9"/>
  <c r="AB121" i="9"/>
  <c r="AH121" i="9" s="1"/>
  <c r="AB122" i="9"/>
  <c r="AB123" i="9"/>
  <c r="AB124" i="9"/>
  <c r="AB125" i="9"/>
  <c r="AH125" i="9" s="1"/>
  <c r="AB126" i="9"/>
  <c r="AB127" i="9"/>
  <c r="AB128" i="9"/>
  <c r="AB129" i="9"/>
  <c r="AB130" i="9"/>
  <c r="AB131" i="9"/>
  <c r="AB132" i="9"/>
  <c r="AB133" i="9"/>
  <c r="AH133" i="9" s="1"/>
  <c r="AB134" i="9"/>
  <c r="AB135" i="9"/>
  <c r="AB136" i="9"/>
  <c r="AB137" i="9"/>
  <c r="AH137" i="9" s="1"/>
  <c r="AB138" i="9"/>
  <c r="AB139" i="9"/>
  <c r="AB140" i="9"/>
  <c r="AB141" i="9"/>
  <c r="AH141" i="9" s="1"/>
  <c r="AB142" i="9"/>
  <c r="AB143" i="9"/>
  <c r="AB144" i="9"/>
  <c r="AB145" i="9"/>
  <c r="AB146" i="9"/>
  <c r="AB147" i="9"/>
  <c r="AB148" i="9"/>
  <c r="AB149" i="9"/>
  <c r="AH149" i="9" s="1"/>
  <c r="AB150" i="9"/>
  <c r="AB151" i="9"/>
  <c r="AB152" i="9"/>
  <c r="AB153" i="9"/>
  <c r="AH153" i="9" s="1"/>
  <c r="AB154" i="9"/>
  <c r="AB155" i="9"/>
  <c r="AB156" i="9"/>
  <c r="AB157" i="9"/>
  <c r="AH157" i="9" s="1"/>
  <c r="AB158" i="9"/>
  <c r="AB159" i="9"/>
  <c r="AB160" i="9"/>
  <c r="AB161" i="9"/>
  <c r="AB162" i="9"/>
  <c r="AB163" i="9"/>
  <c r="AB164" i="9"/>
  <c r="AB165" i="9"/>
  <c r="AH165" i="9" s="1"/>
  <c r="AB166" i="9"/>
  <c r="AB167" i="9"/>
  <c r="AB168" i="9"/>
  <c r="AB169" i="9"/>
  <c r="AH169" i="9" s="1"/>
  <c r="AB170" i="9"/>
  <c r="AB171" i="9"/>
  <c r="AB172" i="9"/>
  <c r="AB173" i="9"/>
  <c r="AH173" i="9" s="1"/>
  <c r="AB174" i="9"/>
  <c r="AB175" i="9"/>
  <c r="AB176" i="9"/>
  <c r="AB177" i="9"/>
  <c r="AB178" i="9"/>
  <c r="AB179" i="9"/>
  <c r="AB180" i="9"/>
  <c r="AB181" i="9"/>
  <c r="AH181" i="9" s="1"/>
  <c r="AB182" i="9"/>
  <c r="AB183" i="9"/>
  <c r="AB184" i="9"/>
  <c r="AB185" i="9"/>
  <c r="AH185" i="9" s="1"/>
  <c r="AB186" i="9"/>
  <c r="AB187" i="9"/>
  <c r="AB188" i="9"/>
  <c r="AB189" i="9"/>
  <c r="AH189" i="9" s="1"/>
  <c r="AB190" i="9"/>
  <c r="AB191" i="9"/>
  <c r="AB192" i="9"/>
  <c r="AB193" i="9"/>
  <c r="AB194" i="9"/>
  <c r="AB195" i="9"/>
  <c r="AB196" i="9"/>
  <c r="AB197" i="9"/>
  <c r="AH197" i="9" s="1"/>
  <c r="AB198" i="9"/>
  <c r="AB199" i="9"/>
  <c r="AB200" i="9"/>
  <c r="AB201" i="9"/>
  <c r="AH201" i="9" s="1"/>
  <c r="AB202" i="9"/>
  <c r="AB203" i="9"/>
  <c r="AB204" i="9"/>
  <c r="AB205" i="9"/>
  <c r="AH205" i="9" s="1"/>
  <c r="AB206" i="9"/>
  <c r="AB207" i="9"/>
  <c r="AB208" i="9"/>
  <c r="AB209" i="9"/>
  <c r="AB210" i="9"/>
  <c r="AB211" i="9"/>
  <c r="AB212" i="9"/>
  <c r="AB213" i="9"/>
  <c r="AH213" i="9" s="1"/>
  <c r="AB214" i="9"/>
  <c r="AB215" i="9"/>
  <c r="AB216" i="9"/>
  <c r="AB217" i="9"/>
  <c r="AH217" i="9" s="1"/>
  <c r="AB218" i="9"/>
  <c r="AB219" i="9"/>
  <c r="AB220" i="9"/>
  <c r="AB221" i="9"/>
  <c r="AH221" i="9" s="1"/>
  <c r="AB222" i="9"/>
  <c r="AB223" i="9"/>
  <c r="AB224" i="9"/>
  <c r="AB225" i="9"/>
  <c r="AH225" i="9" s="1"/>
  <c r="AB226" i="9"/>
  <c r="AB227" i="9"/>
  <c r="AB228" i="9"/>
  <c r="AB229" i="9"/>
  <c r="AH229" i="9" s="1"/>
  <c r="AB230" i="9"/>
  <c r="AB231" i="9"/>
  <c r="AB232" i="9"/>
  <c r="AB233" i="9"/>
  <c r="AB234" i="9"/>
  <c r="AB235" i="9"/>
  <c r="AB236" i="9"/>
  <c r="AB237" i="9"/>
  <c r="AH237" i="9" s="1"/>
  <c r="AB238" i="9"/>
  <c r="AB239" i="9"/>
  <c r="AB240" i="9"/>
  <c r="AB241" i="9"/>
  <c r="AH241" i="9" s="1"/>
  <c r="AB242" i="9"/>
  <c r="AB243" i="9"/>
  <c r="AB244" i="9"/>
  <c r="AB245" i="9"/>
  <c r="AB246" i="9"/>
  <c r="AB247" i="9"/>
  <c r="AB248" i="9"/>
  <c r="AB249" i="9"/>
  <c r="AK25" i="9"/>
  <c r="AK45" i="9"/>
  <c r="AK61" i="9"/>
  <c r="AK80" i="9"/>
  <c r="AK96" i="9"/>
  <c r="AK112" i="9"/>
  <c r="AK128" i="9"/>
  <c r="AK144" i="9"/>
  <c r="AK161" i="9"/>
  <c r="AK185" i="9"/>
  <c r="AK204" i="9"/>
  <c r="AK220" i="9"/>
  <c r="AK237" i="9"/>
  <c r="AE5" i="9"/>
  <c r="AJ20" i="9"/>
  <c r="AJ31" i="9"/>
  <c r="AJ39" i="9"/>
  <c r="AJ40" i="9"/>
  <c r="AJ52" i="9"/>
  <c r="AJ63" i="9"/>
  <c r="AJ71" i="9"/>
  <c r="AJ72" i="9"/>
  <c r="AJ84" i="9"/>
  <c r="AJ95" i="9"/>
  <c r="AJ103" i="9"/>
  <c r="AJ104" i="9"/>
  <c r="AJ116" i="9"/>
  <c r="AJ127" i="9"/>
  <c r="AJ143" i="9"/>
  <c r="AJ156" i="9"/>
  <c r="AJ176" i="9"/>
  <c r="AJ196" i="9"/>
  <c r="AJ216" i="9"/>
  <c r="AJ236" i="9"/>
  <c r="AD5" i="9"/>
  <c r="AC5" i="9"/>
  <c r="AH17" i="9"/>
  <c r="AH33" i="9"/>
  <c r="AH49" i="9"/>
  <c r="AH65" i="9"/>
  <c r="AH81" i="9"/>
  <c r="AH97" i="9"/>
  <c r="AH113" i="9"/>
  <c r="AH129" i="9"/>
  <c r="AH145" i="9"/>
  <c r="AH161" i="9"/>
  <c r="AH177" i="9"/>
  <c r="AH193" i="9"/>
  <c r="AH209" i="9"/>
  <c r="AH211" i="9"/>
  <c r="AH223" i="9"/>
  <c r="AH227" i="9"/>
  <c r="AH233" i="9"/>
  <c r="AH239" i="9"/>
  <c r="AH243" i="9"/>
  <c r="AH245" i="9"/>
  <c r="AB5" i="9"/>
  <c r="BH4" i="8"/>
  <c r="BI4" i="8"/>
  <c r="BJ4" i="8"/>
  <c r="BK4" i="8"/>
  <c r="AL6" i="9"/>
  <c r="AL7" i="9"/>
  <c r="AL8" i="9"/>
  <c r="AL9" i="9"/>
  <c r="AL10" i="9"/>
  <c r="AL11" i="9"/>
  <c r="AL12" i="9"/>
  <c r="AL13" i="9"/>
  <c r="AL14" i="9"/>
  <c r="AL15" i="9"/>
  <c r="AL16" i="9"/>
  <c r="AL17" i="9"/>
  <c r="AL18" i="9"/>
  <c r="AL19" i="9"/>
  <c r="AL20" i="9"/>
  <c r="AL21" i="9"/>
  <c r="AL22" i="9"/>
  <c r="AL23" i="9"/>
  <c r="AL24" i="9"/>
  <c r="AL25" i="9"/>
  <c r="AL26" i="9"/>
  <c r="AL27" i="9"/>
  <c r="AL28" i="9"/>
  <c r="AL29" i="9"/>
  <c r="AL30" i="9"/>
  <c r="AL31" i="9"/>
  <c r="AL32" i="9"/>
  <c r="AL33" i="9"/>
  <c r="AL34" i="9"/>
  <c r="AL35" i="9"/>
  <c r="AL36" i="9"/>
  <c r="AL37" i="9"/>
  <c r="AL38" i="9"/>
  <c r="AL39" i="9"/>
  <c r="AL40" i="9"/>
  <c r="AL41" i="9"/>
  <c r="AL42" i="9"/>
  <c r="AL43" i="9"/>
  <c r="AL44" i="9"/>
  <c r="AL45" i="9"/>
  <c r="AL46" i="9"/>
  <c r="AL47" i="9"/>
  <c r="AL48" i="9"/>
  <c r="AL49" i="9"/>
  <c r="AL50" i="9"/>
  <c r="AL51" i="9"/>
  <c r="AL52" i="9"/>
  <c r="AL53" i="9"/>
  <c r="AL54" i="9"/>
  <c r="AL55" i="9"/>
  <c r="AL56" i="9"/>
  <c r="AL57" i="9"/>
  <c r="AL58" i="9"/>
  <c r="AL59" i="9"/>
  <c r="AL60" i="9"/>
  <c r="AL61" i="9"/>
  <c r="AL62" i="9"/>
  <c r="AL63" i="9"/>
  <c r="AL64" i="9"/>
  <c r="AL65" i="9"/>
  <c r="AL66" i="9"/>
  <c r="AL67" i="9"/>
  <c r="AL68" i="9"/>
  <c r="AL69" i="9"/>
  <c r="AL70" i="9"/>
  <c r="AL71" i="9"/>
  <c r="AL72" i="9"/>
  <c r="AL73" i="9"/>
  <c r="AL74" i="9"/>
  <c r="AL75" i="9"/>
  <c r="AL76" i="9"/>
  <c r="AL77" i="9"/>
  <c r="AL78" i="9"/>
  <c r="AL79" i="9"/>
  <c r="AL80" i="9"/>
  <c r="AL81" i="9"/>
  <c r="AL82" i="9"/>
  <c r="AL83" i="9"/>
  <c r="AL84" i="9"/>
  <c r="AL85" i="9"/>
  <c r="AL86" i="9"/>
  <c r="AL87" i="9"/>
  <c r="AL88" i="9"/>
  <c r="AL89" i="9"/>
  <c r="AL90" i="9"/>
  <c r="AL91" i="9"/>
  <c r="AL92" i="9"/>
  <c r="AL93" i="9"/>
  <c r="AL94" i="9"/>
  <c r="AL95" i="9"/>
  <c r="AL96" i="9"/>
  <c r="AL97" i="9"/>
  <c r="AL98" i="9"/>
  <c r="AL99" i="9"/>
  <c r="AL100" i="9"/>
  <c r="AL101" i="9"/>
  <c r="AL102" i="9"/>
  <c r="AL103" i="9"/>
  <c r="AL104" i="9"/>
  <c r="AL105" i="9"/>
  <c r="AL106" i="9"/>
  <c r="AL107" i="9"/>
  <c r="AL108" i="9"/>
  <c r="AL109" i="9"/>
  <c r="AL110" i="9"/>
  <c r="AL111" i="9"/>
  <c r="AL112" i="9"/>
  <c r="AL113" i="9"/>
  <c r="AL114" i="9"/>
  <c r="AL115" i="9"/>
  <c r="AL116" i="9"/>
  <c r="AL117" i="9"/>
  <c r="AL118" i="9"/>
  <c r="AL119" i="9"/>
  <c r="AL120" i="9"/>
  <c r="AL121" i="9"/>
  <c r="AL122" i="9"/>
  <c r="AL123" i="9"/>
  <c r="AL124" i="9"/>
  <c r="AL125" i="9"/>
  <c r="AL126" i="9"/>
  <c r="AL127" i="9"/>
  <c r="AL128" i="9"/>
  <c r="AL129" i="9"/>
  <c r="AL130" i="9"/>
  <c r="AL131" i="9"/>
  <c r="AL132" i="9"/>
  <c r="AL133" i="9"/>
  <c r="AL134" i="9"/>
  <c r="AL135" i="9"/>
  <c r="AL136" i="9"/>
  <c r="AL137" i="9"/>
  <c r="AL138" i="9"/>
  <c r="AL139" i="9"/>
  <c r="AL140" i="9"/>
  <c r="AL141" i="9"/>
  <c r="AL142" i="9"/>
  <c r="AL143" i="9"/>
  <c r="AL144" i="9"/>
  <c r="AL145" i="9"/>
  <c r="AL146" i="9"/>
  <c r="AL147" i="9"/>
  <c r="AL148" i="9"/>
  <c r="AL149" i="9"/>
  <c r="AL150" i="9"/>
  <c r="AL151" i="9"/>
  <c r="AL152" i="9"/>
  <c r="AL153" i="9"/>
  <c r="AL154" i="9"/>
  <c r="AL155" i="9"/>
  <c r="AL156" i="9"/>
  <c r="AL157" i="9"/>
  <c r="AL158" i="9"/>
  <c r="AL159" i="9"/>
  <c r="AL160" i="9"/>
  <c r="AL161" i="9"/>
  <c r="AL162" i="9"/>
  <c r="AL163" i="9"/>
  <c r="AL164" i="9"/>
  <c r="AL165" i="9"/>
  <c r="AL166" i="9"/>
  <c r="AL167" i="9"/>
  <c r="AL168" i="9"/>
  <c r="AL169" i="9"/>
  <c r="AL170" i="9"/>
  <c r="AL171" i="9"/>
  <c r="AL172" i="9"/>
  <c r="AL173" i="9"/>
  <c r="AL174" i="9"/>
  <c r="AL175" i="9"/>
  <c r="AL176" i="9"/>
  <c r="AL177" i="9"/>
  <c r="AL178" i="9"/>
  <c r="AL179" i="9"/>
  <c r="AL180" i="9"/>
  <c r="AL181" i="9"/>
  <c r="AL182" i="9"/>
  <c r="AL183" i="9"/>
  <c r="AL184" i="9"/>
  <c r="AL185" i="9"/>
  <c r="AL186" i="9"/>
  <c r="AL187" i="9"/>
  <c r="AL188" i="9"/>
  <c r="AL189" i="9"/>
  <c r="AL190" i="9"/>
  <c r="AL191" i="9"/>
  <c r="AL192" i="9"/>
  <c r="AL193" i="9"/>
  <c r="AL194" i="9"/>
  <c r="AL195" i="9"/>
  <c r="AL196" i="9"/>
  <c r="AL197" i="9"/>
  <c r="AL198" i="9"/>
  <c r="AL199" i="9"/>
  <c r="AL200" i="9"/>
  <c r="AL201" i="9"/>
  <c r="AL202" i="9"/>
  <c r="AL203" i="9"/>
  <c r="AL204" i="9"/>
  <c r="AL205" i="9"/>
  <c r="AL206" i="9"/>
  <c r="AL207" i="9"/>
  <c r="AL208" i="9"/>
  <c r="AL209" i="9"/>
  <c r="AL210" i="9"/>
  <c r="AL211" i="9"/>
  <c r="AL212" i="9"/>
  <c r="AL213" i="9"/>
  <c r="AL214" i="9"/>
  <c r="AL215" i="9"/>
  <c r="AL216" i="9"/>
  <c r="AL217" i="9"/>
  <c r="AL218" i="9"/>
  <c r="AL219" i="9"/>
  <c r="AL220" i="9"/>
  <c r="AL221" i="9"/>
  <c r="AL222" i="9"/>
  <c r="AL223" i="9"/>
  <c r="AL224" i="9"/>
  <c r="AL225" i="9"/>
  <c r="AL226" i="9"/>
  <c r="AL227" i="9"/>
  <c r="AL228" i="9"/>
  <c r="AL229" i="9"/>
  <c r="AL230" i="9"/>
  <c r="AL231" i="9"/>
  <c r="AL232" i="9"/>
  <c r="AL233" i="9"/>
  <c r="AL234" i="9"/>
  <c r="AL235" i="9"/>
  <c r="AL236" i="9"/>
  <c r="AL237" i="9"/>
  <c r="AL238" i="9"/>
  <c r="AL239" i="9"/>
  <c r="AL240" i="9"/>
  <c r="AL241" i="9"/>
  <c r="AL242" i="9"/>
  <c r="AL243" i="9"/>
  <c r="AL244" i="9"/>
  <c r="AL245" i="9"/>
  <c r="AL246" i="9"/>
  <c r="AL247" i="9"/>
  <c r="AL248" i="9"/>
  <c r="AL5" i="9"/>
  <c r="AI90" i="9"/>
  <c r="AI154" i="9"/>
  <c r="AF5" i="9"/>
  <c r="AK37" i="9"/>
  <c r="AK77" i="9"/>
  <c r="AK113" i="9"/>
  <c r="AK145" i="9"/>
  <c r="AK192" i="9"/>
  <c r="AK229" i="9"/>
  <c r="AJ35" i="9"/>
  <c r="AJ43" i="9"/>
  <c r="AJ67" i="9"/>
  <c r="AJ75" i="9"/>
  <c r="AJ99" i="9"/>
  <c r="AJ107" i="9"/>
  <c r="AJ139" i="9"/>
  <c r="AJ159" i="9"/>
  <c r="AJ179" i="9"/>
  <c r="AJ180" i="9"/>
  <c r="AJ240" i="9"/>
  <c r="AI5" i="9"/>
  <c r="AI6" i="9"/>
  <c r="AI7" i="9"/>
  <c r="AI10" i="9"/>
  <c r="AI11" i="9"/>
  <c r="AI14" i="9"/>
  <c r="AI15" i="9"/>
  <c r="AI18" i="9"/>
  <c r="AI19" i="9"/>
  <c r="AI22" i="9"/>
  <c r="AI23" i="9"/>
  <c r="AI26" i="9"/>
  <c r="AI27" i="9"/>
  <c r="AI30" i="9"/>
  <c r="AI31" i="9"/>
  <c r="AI34" i="9"/>
  <c r="AI35" i="9"/>
  <c r="AI38" i="9"/>
  <c r="AI39" i="9"/>
  <c r="AI42" i="9"/>
  <c r="AI43" i="9"/>
  <c r="AI46" i="9"/>
  <c r="AI47" i="9"/>
  <c r="AI50" i="9"/>
  <c r="AI51" i="9"/>
  <c r="AI54" i="9"/>
  <c r="AI55" i="9"/>
  <c r="AI58" i="9"/>
  <c r="AI59" i="9"/>
  <c r="AI62" i="9"/>
  <c r="AI63" i="9"/>
  <c r="AI66" i="9"/>
  <c r="AI67" i="9"/>
  <c r="AI70" i="9"/>
  <c r="AI71" i="9"/>
  <c r="AI74" i="9"/>
  <c r="AI75" i="9"/>
  <c r="AI78" i="9"/>
  <c r="AI79" i="9"/>
  <c r="AI82" i="9"/>
  <c r="AI83" i="9"/>
  <c r="AI86" i="9"/>
  <c r="AI87" i="9"/>
  <c r="AI91" i="9"/>
  <c r="AI94" i="9"/>
  <c r="AI95" i="9"/>
  <c r="AI98" i="9"/>
  <c r="AI99" i="9"/>
  <c r="AI102" i="9"/>
  <c r="AI103" i="9"/>
  <c r="AI106" i="9"/>
  <c r="AI107" i="9"/>
  <c r="AI110" i="9"/>
  <c r="AI111" i="9"/>
  <c r="AI114" i="9"/>
  <c r="AI115" i="9"/>
  <c r="AI118" i="9"/>
  <c r="AI119" i="9"/>
  <c r="AI122" i="9"/>
  <c r="AI123" i="9"/>
  <c r="AI126" i="9"/>
  <c r="AI127" i="9"/>
  <c r="AI130" i="9"/>
  <c r="AI131" i="9"/>
  <c r="AI134" i="9"/>
  <c r="AI135" i="9"/>
  <c r="AI138" i="9"/>
  <c r="AI139" i="9"/>
  <c r="AI142" i="9"/>
  <c r="AI143" i="9"/>
  <c r="AI146" i="9"/>
  <c r="AI147" i="9"/>
  <c r="AI150" i="9"/>
  <c r="AI151" i="9"/>
  <c r="AI155" i="9"/>
  <c r="AI158" i="9"/>
  <c r="AI159" i="9"/>
  <c r="AI162" i="9"/>
  <c r="AI163" i="9"/>
  <c r="AI166" i="9"/>
  <c r="AI167" i="9"/>
  <c r="AI170" i="9"/>
  <c r="AI171" i="9"/>
  <c r="AI174" i="9"/>
  <c r="AI175" i="9"/>
  <c r="AI178" i="9"/>
  <c r="AI179" i="9"/>
  <c r="AI182" i="9"/>
  <c r="AI183" i="9"/>
  <c r="AI186" i="9"/>
  <c r="AI187" i="9"/>
  <c r="AI190" i="9"/>
  <c r="AI191" i="9"/>
  <c r="AI194" i="9"/>
  <c r="AI195" i="9"/>
  <c r="AI198" i="9"/>
  <c r="AI199" i="9"/>
  <c r="AI202" i="9"/>
  <c r="AI203" i="9"/>
  <c r="AI206" i="9"/>
  <c r="AI207" i="9"/>
  <c r="AI210" i="9"/>
  <c r="AI211" i="9"/>
  <c r="AI214" i="9"/>
  <c r="AI215" i="9"/>
  <c r="AI218" i="9"/>
  <c r="AI219" i="9"/>
  <c r="AI222" i="9"/>
  <c r="AI223" i="9"/>
  <c r="AI226" i="9"/>
  <c r="AI227" i="9"/>
  <c r="AI230" i="9"/>
  <c r="AI231" i="9"/>
  <c r="AI234" i="9"/>
  <c r="AI235" i="9"/>
  <c r="AI238" i="9"/>
  <c r="AI239" i="9"/>
  <c r="AI242" i="9"/>
  <c r="AI243" i="9"/>
  <c r="AI246" i="9"/>
  <c r="AI247" i="9"/>
  <c r="AH6" i="9"/>
  <c r="AH10" i="9"/>
  <c r="AH14" i="9"/>
  <c r="AH18" i="9"/>
  <c r="AH22" i="9"/>
  <c r="AH26" i="9"/>
  <c r="AH30" i="9"/>
  <c r="AH34" i="9"/>
  <c r="AH38" i="9"/>
  <c r="AH42" i="9"/>
  <c r="AH46" i="9"/>
  <c r="AH50" i="9"/>
  <c r="AH54" i="9"/>
  <c r="AH58" i="9"/>
  <c r="AH62" i="9"/>
  <c r="AH66" i="9"/>
  <c r="AH70" i="9"/>
  <c r="AH74" i="9"/>
  <c r="AH78" i="9"/>
  <c r="AH82" i="9"/>
  <c r="AH86" i="9"/>
  <c r="AH90" i="9"/>
  <c r="AH94" i="9"/>
  <c r="AH98" i="9"/>
  <c r="AH102" i="9"/>
  <c r="AH106" i="9"/>
  <c r="AH110" i="9"/>
  <c r="AH114" i="9"/>
  <c r="AH118" i="9"/>
  <c r="AH122" i="9"/>
  <c r="AH126" i="9"/>
  <c r="AH130" i="9"/>
  <c r="AH134" i="9"/>
  <c r="AH138" i="9"/>
  <c r="AH142" i="9"/>
  <c r="AH146" i="9"/>
  <c r="AH150" i="9"/>
  <c r="AH154" i="9"/>
  <c r="AH158" i="9"/>
  <c r="AH162" i="9"/>
  <c r="AH166" i="9"/>
  <c r="AH170" i="9"/>
  <c r="AH174" i="9"/>
  <c r="AH178" i="9"/>
  <c r="AH182" i="9"/>
  <c r="AH186" i="9"/>
  <c r="AH190" i="9"/>
  <c r="AH194" i="9"/>
  <c r="AH198" i="9"/>
  <c r="AH202" i="9"/>
  <c r="AH206" i="9"/>
  <c r="AH210" i="9"/>
  <c r="AH214" i="9"/>
  <c r="AH215" i="9"/>
  <c r="AH218" i="9"/>
  <c r="AH219" i="9"/>
  <c r="AH222" i="9"/>
  <c r="AH226" i="9"/>
  <c r="AH230" i="9"/>
  <c r="AH231" i="9"/>
  <c r="AH234" i="9"/>
  <c r="AH235" i="9"/>
  <c r="AH238" i="9"/>
  <c r="AH242" i="9"/>
  <c r="AH246" i="9"/>
  <c r="AH247" i="9"/>
  <c r="BF2" i="8"/>
  <c r="BF6" i="8"/>
  <c r="BF7" i="8"/>
  <c r="BF8" i="8"/>
  <c r="BF9" i="8"/>
  <c r="BF10" i="8"/>
  <c r="BF11" i="8"/>
  <c r="BF12" i="8"/>
  <c r="BF13" i="8"/>
  <c r="BF14" i="8"/>
  <c r="BF15" i="8"/>
  <c r="BF16" i="8"/>
  <c r="BF17" i="8"/>
  <c r="BF18" i="8"/>
  <c r="BF19" i="8"/>
  <c r="BF20" i="8"/>
  <c r="BF21" i="8"/>
  <c r="BF22" i="8"/>
  <c r="BF23" i="8"/>
  <c r="BF24" i="8"/>
  <c r="BF25" i="8"/>
  <c r="BF26" i="8"/>
  <c r="BF27" i="8"/>
  <c r="BF28" i="8"/>
  <c r="BF29" i="8"/>
  <c r="BF30" i="8"/>
  <c r="BF31" i="8"/>
  <c r="BF32" i="8"/>
  <c r="BF33" i="8"/>
  <c r="BF34" i="8"/>
  <c r="BF35" i="8"/>
  <c r="BF36" i="8"/>
  <c r="BF37" i="8"/>
  <c r="BF38" i="8"/>
  <c r="BF39" i="8"/>
  <c r="BF40" i="8"/>
  <c r="BF41" i="8"/>
  <c r="BF42" i="8"/>
  <c r="BF43" i="8"/>
  <c r="BF44" i="8"/>
  <c r="BF45" i="8"/>
  <c r="BF46" i="8"/>
  <c r="BF47" i="8"/>
  <c r="BF48" i="8"/>
  <c r="BF49" i="8"/>
  <c r="BF50" i="8"/>
  <c r="BF51" i="8"/>
  <c r="BF52" i="8"/>
  <c r="BF53" i="8"/>
  <c r="BF54" i="8"/>
  <c r="BF55" i="8"/>
  <c r="BF56" i="8"/>
  <c r="BF57" i="8"/>
  <c r="BF58" i="8"/>
  <c r="BF59" i="8"/>
  <c r="BF60" i="8"/>
  <c r="BF61" i="8"/>
  <c r="BF62" i="8"/>
  <c r="BF63" i="8"/>
  <c r="BF64" i="8"/>
  <c r="BF65" i="8"/>
  <c r="BF66" i="8"/>
  <c r="BF67" i="8"/>
  <c r="BF68" i="8"/>
  <c r="BF69" i="8"/>
  <c r="BF70" i="8"/>
  <c r="BF71" i="8"/>
  <c r="BF72" i="8"/>
  <c r="BF73" i="8"/>
  <c r="BF74" i="8"/>
  <c r="BF75" i="8"/>
  <c r="BF76" i="8"/>
  <c r="BF77" i="8"/>
  <c r="BF78" i="8"/>
  <c r="BF79" i="8"/>
  <c r="BF80" i="8"/>
  <c r="BF81" i="8"/>
  <c r="BF82" i="8"/>
  <c r="BF83" i="8"/>
  <c r="BF84" i="8"/>
  <c r="BF85" i="8"/>
  <c r="BF86" i="8"/>
  <c r="BF87" i="8"/>
  <c r="BF88" i="8"/>
  <c r="BF89" i="8"/>
  <c r="BF90" i="8"/>
  <c r="BF91" i="8"/>
  <c r="BF92" i="8"/>
  <c r="BF93" i="8"/>
  <c r="BF94" i="8"/>
  <c r="BF95" i="8"/>
  <c r="BF96" i="8"/>
  <c r="BF97" i="8"/>
  <c r="BF98" i="8"/>
  <c r="BF99" i="8"/>
  <c r="BF100" i="8"/>
  <c r="BF101" i="8"/>
  <c r="BF102" i="8"/>
  <c r="BF103" i="8"/>
  <c r="BF104" i="8"/>
  <c r="BF105" i="8"/>
  <c r="BF106" i="8"/>
  <c r="BF107" i="8"/>
  <c r="BF108" i="8"/>
  <c r="BF109" i="8"/>
  <c r="BF110" i="8"/>
  <c r="BF111" i="8"/>
  <c r="BF112" i="8"/>
  <c r="BF113" i="8"/>
  <c r="BF114" i="8"/>
  <c r="BF115" i="8"/>
  <c r="BF116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5" i="8"/>
  <c r="BF4" i="8" s="1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184" i="8"/>
  <c r="X185" i="8"/>
  <c r="X186" i="8"/>
  <c r="X187" i="8"/>
  <c r="X188" i="8"/>
  <c r="X189" i="8"/>
  <c r="X190" i="8"/>
  <c r="X191" i="8"/>
  <c r="X192" i="8"/>
  <c r="X193" i="8"/>
  <c r="X194" i="8"/>
  <c r="X195" i="8"/>
  <c r="X196" i="8"/>
  <c r="X197" i="8"/>
  <c r="X198" i="8"/>
  <c r="X199" i="8"/>
  <c r="X200" i="8"/>
  <c r="X201" i="8"/>
  <c r="X202" i="8"/>
  <c r="X203" i="8"/>
  <c r="X204" i="8"/>
  <c r="X205" i="8"/>
  <c r="X206" i="8"/>
  <c r="X207" i="8"/>
  <c r="X208" i="8"/>
  <c r="X209" i="8"/>
  <c r="X210" i="8"/>
  <c r="X211" i="8"/>
  <c r="X212" i="8"/>
  <c r="X213" i="8"/>
  <c r="X214" i="8"/>
  <c r="X215" i="8"/>
  <c r="X216" i="8"/>
  <c r="X217" i="8"/>
  <c r="X218" i="8"/>
  <c r="X219" i="8"/>
  <c r="X220" i="8"/>
  <c r="X221" i="8"/>
  <c r="X222" i="8"/>
  <c r="X223" i="8"/>
  <c r="X224" i="8"/>
  <c r="X225" i="8"/>
  <c r="X226" i="8"/>
  <c r="X227" i="8"/>
  <c r="X228" i="8"/>
  <c r="X229" i="8"/>
  <c r="X230" i="8"/>
  <c r="X231" i="8"/>
  <c r="X232" i="8"/>
  <c r="X233" i="8"/>
  <c r="X234" i="8"/>
  <c r="X235" i="8"/>
  <c r="X236" i="8"/>
  <c r="X237" i="8"/>
  <c r="X238" i="8"/>
  <c r="X239" i="8"/>
  <c r="X240" i="8"/>
  <c r="X241" i="8"/>
  <c r="X242" i="8"/>
  <c r="X243" i="8"/>
  <c r="X244" i="8"/>
  <c r="X245" i="8"/>
  <c r="X246" i="8"/>
  <c r="X247" i="8"/>
  <c r="X3" i="8"/>
  <c r="AK101" i="9" l="1"/>
  <c r="AK68" i="9"/>
  <c r="AK209" i="9"/>
  <c r="AK93" i="9"/>
  <c r="AK136" i="9"/>
  <c r="AK120" i="9"/>
  <c r="AK241" i="9"/>
  <c r="AK85" i="9"/>
  <c r="AK49" i="9"/>
  <c r="AK197" i="9"/>
  <c r="AK177" i="9"/>
  <c r="AK73" i="9"/>
  <c r="AK57" i="9"/>
  <c r="AK225" i="9"/>
  <c r="AK205" i="9"/>
  <c r="AK188" i="9"/>
  <c r="AK164" i="9"/>
  <c r="AK141" i="9"/>
  <c r="AK133" i="9"/>
  <c r="AK125" i="9"/>
  <c r="AK117" i="9"/>
  <c r="AK97" i="9"/>
  <c r="AK89" i="9"/>
  <c r="AK81" i="9"/>
  <c r="AK64" i="9"/>
  <c r="BF3" i="8"/>
  <c r="AF2" i="9"/>
  <c r="AH207" i="9"/>
  <c r="AH203" i="9"/>
  <c r="AH199" i="9"/>
  <c r="AH191" i="9"/>
  <c r="AH187" i="9"/>
  <c r="AH183" i="9"/>
  <c r="AH175" i="9"/>
  <c r="AH171" i="9"/>
  <c r="AH167" i="9"/>
  <c r="AH159" i="9"/>
  <c r="AH155" i="9"/>
  <c r="AH151" i="9"/>
  <c r="AH147" i="9"/>
  <c r="AH143" i="9"/>
  <c r="AH139" i="9"/>
  <c r="AH135" i="9"/>
  <c r="AH131" i="9"/>
  <c r="AH127" i="9"/>
  <c r="AH123" i="9"/>
  <c r="AH119" i="9"/>
  <c r="AH115" i="9"/>
  <c r="AH111" i="9"/>
  <c r="AH107" i="9"/>
  <c r="AH103" i="9"/>
  <c r="AH99" i="9"/>
  <c r="AH95" i="9"/>
  <c r="AH91" i="9"/>
  <c r="AH87" i="9"/>
  <c r="AH83" i="9"/>
  <c r="AH79" i="9"/>
  <c r="AH75" i="9"/>
  <c r="AH71" i="9"/>
  <c r="AH67" i="9"/>
  <c r="AH63" i="9"/>
  <c r="AH59" i="9"/>
  <c r="AH55" i="9"/>
  <c r="AH51" i="9"/>
  <c r="AH47" i="9"/>
  <c r="AH43" i="9"/>
  <c r="AH39" i="9"/>
  <c r="AH35" i="9"/>
  <c r="AH31" i="9"/>
  <c r="AH27" i="9"/>
  <c r="AH23" i="9"/>
  <c r="AH19" i="9"/>
  <c r="AH15" i="9"/>
  <c r="AH11" i="9"/>
  <c r="AH7" i="9"/>
  <c r="AI244" i="9"/>
  <c r="AI236" i="9"/>
  <c r="AI228" i="9"/>
  <c r="AI220" i="9"/>
  <c r="AI212" i="9"/>
  <c r="AI204" i="9"/>
  <c r="AI196" i="9"/>
  <c r="AI188" i="9"/>
  <c r="AI180" i="9"/>
  <c r="AI172" i="9"/>
  <c r="AI164" i="9"/>
  <c r="AI156" i="9"/>
  <c r="AI148" i="9"/>
  <c r="AI140" i="9"/>
  <c r="AI132" i="9"/>
  <c r="AI124" i="9"/>
  <c r="AI116" i="9"/>
  <c r="AI108" i="9"/>
  <c r="AI100" i="9"/>
  <c r="AI92" i="9"/>
  <c r="AI84" i="9"/>
  <c r="AI76" i="9"/>
  <c r="AI68" i="9"/>
  <c r="AI60" i="9"/>
  <c r="AI52" i="9"/>
  <c r="AI44" i="9"/>
  <c r="AI36" i="9"/>
  <c r="AI28" i="9"/>
  <c r="AI20" i="9"/>
  <c r="AI12" i="9"/>
  <c r="AD3" i="9"/>
  <c r="AH176" i="9"/>
  <c r="AH248" i="9"/>
  <c r="AH244" i="9"/>
  <c r="AH240" i="9"/>
  <c r="AH236" i="9"/>
  <c r="AH232" i="9"/>
  <c r="AH228" i="9"/>
  <c r="AH224" i="9"/>
  <c r="AH220" i="9"/>
  <c r="AH216" i="9"/>
  <c r="AH212" i="9"/>
  <c r="AH208" i="9"/>
  <c r="AH204" i="9"/>
  <c r="AH200" i="9"/>
  <c r="AH188" i="9"/>
  <c r="AH60" i="9"/>
  <c r="AH28" i="9"/>
  <c r="AH124" i="9"/>
  <c r="AJ245" i="9"/>
  <c r="AJ241" i="9"/>
  <c r="AJ237" i="9"/>
  <c r="AJ233" i="9"/>
  <c r="AJ229" i="9"/>
  <c r="AJ225" i="9"/>
  <c r="AJ221" i="9"/>
  <c r="AJ217" i="9"/>
  <c r="AJ213" i="9"/>
  <c r="AJ209" i="9"/>
  <c r="AJ205" i="9"/>
  <c r="AJ201" i="9"/>
  <c r="AJ197" i="9"/>
  <c r="AJ193" i="9"/>
  <c r="AJ189" i="9"/>
  <c r="AJ185" i="9"/>
  <c r="AJ181" i="9"/>
  <c r="AJ173" i="9"/>
  <c r="AJ169" i="9"/>
  <c r="AJ161" i="9"/>
  <c r="AJ157" i="9"/>
  <c r="AJ153" i="9"/>
  <c r="AJ145" i="9"/>
  <c r="AJ141" i="9"/>
  <c r="AJ137" i="9"/>
  <c r="AJ129" i="9"/>
  <c r="AJ125" i="9"/>
  <c r="AJ121" i="9"/>
  <c r="AJ113" i="9"/>
  <c r="AJ109" i="9"/>
  <c r="AJ105" i="9"/>
  <c r="AJ97" i="9"/>
  <c r="AJ93" i="9"/>
  <c r="AJ89" i="9"/>
  <c r="AJ85" i="9"/>
  <c r="AJ77" i="9"/>
  <c r="AJ73" i="9"/>
  <c r="AJ69" i="9"/>
  <c r="AJ65" i="9"/>
  <c r="AJ61" i="9"/>
  <c r="AJ57" i="9"/>
  <c r="AJ53" i="9"/>
  <c r="AJ49" i="9"/>
  <c r="AJ45" i="9"/>
  <c r="AJ41" i="9"/>
  <c r="AJ33" i="9"/>
  <c r="AJ29" i="9"/>
  <c r="AJ25" i="9"/>
  <c r="AJ21" i="9"/>
  <c r="AJ13" i="9"/>
  <c r="AJ9" i="9"/>
  <c r="AJ5" i="9"/>
  <c r="AK246" i="9"/>
  <c r="AK242" i="9"/>
  <c r="AK234" i="9"/>
  <c r="AK230" i="9"/>
  <c r="AK226" i="9"/>
  <c r="AK222" i="9"/>
  <c r="AK214" i="9"/>
  <c r="AK210" i="9"/>
  <c r="AK206" i="9"/>
  <c r="AK202" i="9"/>
  <c r="AK198" i="9"/>
  <c r="AK194" i="9"/>
  <c r="AK190" i="9"/>
  <c r="AK186" i="9"/>
  <c r="AK182" i="9"/>
  <c r="AK178" i="9"/>
  <c r="AK170" i="9"/>
  <c r="AK166" i="9"/>
  <c r="AK162" i="9"/>
  <c r="AK158" i="9"/>
  <c r="AK150" i="9"/>
  <c r="AK146" i="9"/>
  <c r="AK142" i="9"/>
  <c r="AK138" i="9"/>
  <c r="AK134" i="9"/>
  <c r="AK130" i="9"/>
  <c r="AK126" i="9"/>
  <c r="AK122" i="9"/>
  <c r="AK118" i="9"/>
  <c r="AK114" i="9"/>
  <c r="AK106" i="9"/>
  <c r="AK102" i="9"/>
  <c r="AK98" i="9"/>
  <c r="AK94" i="9"/>
  <c r="AK86" i="9"/>
  <c r="AK82" i="9"/>
  <c r="AK78" i="9"/>
  <c r="AK74" i="9"/>
  <c r="AK70" i="9"/>
  <c r="AK66" i="9"/>
  <c r="AK62" i="9"/>
  <c r="AK58" i="9"/>
  <c r="AK54" i="9"/>
  <c r="AK50" i="9"/>
  <c r="AK42" i="9"/>
  <c r="AK38" i="9"/>
  <c r="AK34" i="9"/>
  <c r="AK30" i="9"/>
  <c r="AK22" i="9"/>
  <c r="AK18" i="9"/>
  <c r="AK14" i="9"/>
  <c r="AK10" i="9"/>
  <c r="AK6" i="9"/>
  <c r="AH92" i="9"/>
  <c r="AH5" i="9"/>
  <c r="AK52" i="9"/>
  <c r="AK44" i="9"/>
  <c r="AK40" i="9"/>
  <c r="AK36" i="9"/>
  <c r="AK32" i="9"/>
  <c r="AK28" i="9"/>
  <c r="AK20" i="9"/>
  <c r="AK16" i="9"/>
  <c r="AK12" i="9"/>
  <c r="AK8" i="9"/>
  <c r="AH184" i="9"/>
  <c r="AH172" i="9"/>
  <c r="AH168" i="9"/>
  <c r="AH156" i="9"/>
  <c r="AH152" i="9"/>
  <c r="AH144" i="9"/>
  <c r="AH136" i="9"/>
  <c r="AH128" i="9"/>
  <c r="AH120" i="9"/>
  <c r="AH112" i="9"/>
  <c r="AH104" i="9"/>
  <c r="AH96" i="9"/>
  <c r="AH88" i="9"/>
  <c r="AH80" i="9"/>
  <c r="AH72" i="9"/>
  <c r="AH64" i="9"/>
  <c r="AH56" i="9"/>
  <c r="AH48" i="9"/>
  <c r="AH40" i="9"/>
  <c r="AH32" i="9"/>
  <c r="AH24" i="9"/>
  <c r="AH16" i="9"/>
  <c r="AH8" i="9"/>
  <c r="AI245" i="9"/>
  <c r="AI237" i="9"/>
  <c r="AI229" i="9"/>
  <c r="AI221" i="9"/>
  <c r="AI213" i="9"/>
  <c r="AI205" i="9"/>
  <c r="AI197" i="9"/>
  <c r="AI189" i="9"/>
  <c r="AI181" i="9"/>
  <c r="AI173" i="9"/>
  <c r="AI165" i="9"/>
  <c r="AI157" i="9"/>
  <c r="AI149" i="9"/>
  <c r="AI141" i="9"/>
  <c r="AI133" i="9"/>
  <c r="AI125" i="9"/>
  <c r="AI117" i="9"/>
  <c r="AI109" i="9"/>
  <c r="AI101" i="9"/>
  <c r="AI93" i="9"/>
  <c r="AI85" i="9"/>
  <c r="AI77" i="9"/>
  <c r="AI69" i="9"/>
  <c r="AI61" i="9"/>
  <c r="AI53" i="9"/>
  <c r="AI45" i="9"/>
  <c r="AI37" i="9"/>
  <c r="AI29" i="9"/>
  <c r="AI21" i="9"/>
  <c r="AI13" i="9"/>
  <c r="AJ174" i="9"/>
  <c r="AJ158" i="9"/>
  <c r="AJ142" i="9"/>
  <c r="AJ126" i="9"/>
  <c r="AJ110" i="9"/>
  <c r="AJ70" i="9"/>
  <c r="AJ50" i="9"/>
  <c r="AJ6" i="9"/>
  <c r="AK207" i="9"/>
  <c r="AK187" i="9"/>
  <c r="AK143" i="9"/>
  <c r="AK123" i="9"/>
  <c r="AK79" i="9"/>
  <c r="AK59" i="9"/>
  <c r="AK15" i="9"/>
  <c r="AF4" i="9"/>
  <c r="AI248" i="9"/>
  <c r="AC2" i="9"/>
  <c r="AI208" i="9"/>
  <c r="AI209" i="9"/>
  <c r="AI192" i="9"/>
  <c r="AI193" i="9"/>
  <c r="AI184" i="9"/>
  <c r="AI185" i="9"/>
  <c r="AI168" i="9"/>
  <c r="AI169" i="9"/>
  <c r="AI152" i="9"/>
  <c r="AI153" i="9"/>
  <c r="AI136" i="9"/>
  <c r="AI137" i="9"/>
  <c r="AI120" i="9"/>
  <c r="AI121" i="9"/>
  <c r="AI104" i="9"/>
  <c r="AI105" i="9"/>
  <c r="AI96" i="9"/>
  <c r="AI97" i="9"/>
  <c r="AI48" i="9"/>
  <c r="AI49" i="9"/>
  <c r="AI40" i="9"/>
  <c r="AI41" i="9"/>
  <c r="AI32" i="9"/>
  <c r="AI33" i="9"/>
  <c r="AI24" i="9"/>
  <c r="AI25" i="9"/>
  <c r="AC4" i="9"/>
  <c r="AI16" i="9"/>
  <c r="AI17" i="9"/>
  <c r="AI8" i="9"/>
  <c r="AI9" i="9"/>
  <c r="AJ149" i="9"/>
  <c r="AJ150" i="9"/>
  <c r="AJ101" i="9"/>
  <c r="AJ102" i="9"/>
  <c r="AJ17" i="9"/>
  <c r="AJ18" i="9"/>
  <c r="AH196" i="9"/>
  <c r="AH195" i="9"/>
  <c r="AH180" i="9"/>
  <c r="AH179" i="9"/>
  <c r="AH164" i="9"/>
  <c r="AH163" i="9"/>
  <c r="AI240" i="9"/>
  <c r="AI241" i="9"/>
  <c r="AI232" i="9"/>
  <c r="AI233" i="9"/>
  <c r="AI224" i="9"/>
  <c r="AI225" i="9"/>
  <c r="AI216" i="9"/>
  <c r="AI217" i="9"/>
  <c r="AI200" i="9"/>
  <c r="AI201" i="9"/>
  <c r="AI176" i="9"/>
  <c r="AI177" i="9"/>
  <c r="AI160" i="9"/>
  <c r="AI161" i="9"/>
  <c r="AI144" i="9"/>
  <c r="AI145" i="9"/>
  <c r="AI128" i="9"/>
  <c r="AI129" i="9"/>
  <c r="AI112" i="9"/>
  <c r="AI113" i="9"/>
  <c r="AI88" i="9"/>
  <c r="AI89" i="9"/>
  <c r="AI80" i="9"/>
  <c r="AI81" i="9"/>
  <c r="AI72" i="9"/>
  <c r="AI73" i="9"/>
  <c r="AI64" i="9"/>
  <c r="AI65" i="9"/>
  <c r="AI56" i="9"/>
  <c r="AI57" i="9"/>
  <c r="AJ177" i="9"/>
  <c r="AJ178" i="9"/>
  <c r="AJ165" i="9"/>
  <c r="AJ166" i="9"/>
  <c r="AJ133" i="9"/>
  <c r="AJ134" i="9"/>
  <c r="AJ117" i="9"/>
  <c r="AJ118" i="9"/>
  <c r="AJ81" i="9"/>
  <c r="AJ82" i="9"/>
  <c r="AJ37" i="9"/>
  <c r="AJ38" i="9"/>
  <c r="AK238" i="9"/>
  <c r="AK239" i="9"/>
  <c r="AK218" i="9"/>
  <c r="AK219" i="9"/>
  <c r="AK174" i="9"/>
  <c r="AK175" i="9"/>
  <c r="AK154" i="9"/>
  <c r="AK155" i="9"/>
  <c r="AK110" i="9"/>
  <c r="AK111" i="9"/>
  <c r="AK90" i="9"/>
  <c r="AK91" i="9"/>
  <c r="AK46" i="9"/>
  <c r="AK47" i="9"/>
  <c r="AK26" i="9"/>
  <c r="AK27" i="9"/>
  <c r="AB3" i="9"/>
  <c r="AH192" i="9"/>
  <c r="AH148" i="9"/>
  <c r="AH116" i="9"/>
  <c r="AH84" i="9"/>
  <c r="AH52" i="9"/>
  <c r="AH20" i="9"/>
  <c r="AE3" i="9"/>
  <c r="AF3" i="9"/>
  <c r="AC3" i="9"/>
  <c r="AH140" i="9"/>
  <c r="AH108" i="9"/>
  <c r="AH76" i="9"/>
  <c r="AH44" i="9"/>
  <c r="AH12" i="9"/>
  <c r="AD4" i="9"/>
  <c r="AH160" i="9"/>
  <c r="AH132" i="9"/>
  <c r="AH100" i="9"/>
  <c r="AH68" i="9"/>
  <c r="AH36" i="9"/>
  <c r="AE2" i="9"/>
  <c r="AB4" i="9"/>
  <c r="AH13" i="9"/>
  <c r="AH9" i="9"/>
  <c r="AJ247" i="9"/>
  <c r="AJ243" i="9"/>
  <c r="AJ239" i="9"/>
  <c r="AJ235" i="9"/>
  <c r="AJ231" i="9"/>
  <c r="AJ227" i="9"/>
  <c r="AJ223" i="9"/>
  <c r="AJ219" i="9"/>
  <c r="AJ215" i="9"/>
  <c r="AJ211" i="9"/>
  <c r="AJ207" i="9"/>
  <c r="AJ203" i="9"/>
  <c r="AJ199" i="9"/>
  <c r="AJ195" i="9"/>
  <c r="AJ191" i="9"/>
  <c r="AJ187" i="9"/>
  <c r="AJ175" i="9"/>
  <c r="AJ171" i="9"/>
  <c r="AJ163" i="9"/>
  <c r="AJ155" i="9"/>
  <c r="AJ131" i="9"/>
  <c r="AJ19" i="9"/>
  <c r="AJ15" i="9"/>
  <c r="AJ11" i="9"/>
  <c r="AJ7" i="9"/>
  <c r="AK248" i="9"/>
  <c r="AK244" i="9"/>
  <c r="AK236" i="9"/>
  <c r="AK232" i="9"/>
  <c r="AK216" i="9"/>
  <c r="AK212" i="9"/>
  <c r="AK200" i="9"/>
  <c r="AK184" i="9"/>
  <c r="AK180" i="9"/>
  <c r="AK172" i="9"/>
  <c r="AK168" i="9"/>
  <c r="AK156" i="9"/>
  <c r="AK152" i="9"/>
  <c r="AK148" i="9"/>
  <c r="AK108" i="9"/>
  <c r="AK104" i="9"/>
  <c r="AK76" i="9"/>
  <c r="AK24" i="9"/>
  <c r="AD2" i="9"/>
  <c r="AK5" i="9"/>
  <c r="AJ246" i="9"/>
  <c r="AJ242" i="9"/>
  <c r="AJ238" i="9"/>
  <c r="AJ234" i="9"/>
  <c r="AJ230" i="9"/>
  <c r="AJ226" i="9"/>
  <c r="AJ222" i="9"/>
  <c r="AJ218" i="9"/>
  <c r="AJ214" i="9"/>
  <c r="AJ210" i="9"/>
  <c r="AJ206" i="9"/>
  <c r="AJ202" i="9"/>
  <c r="AJ198" i="9"/>
  <c r="AJ194" i="9"/>
  <c r="AJ190" i="9"/>
  <c r="AJ186" i="9"/>
  <c r="AJ182" i="9"/>
  <c r="AJ170" i="9"/>
  <c r="AJ162" i="9"/>
  <c r="AJ154" i="9"/>
  <c r="AJ146" i="9"/>
  <c r="AJ138" i="9"/>
  <c r="AJ130" i="9"/>
  <c r="AJ122" i="9"/>
  <c r="AJ114" i="9"/>
  <c r="AJ106" i="9"/>
  <c r="AJ98" i="9"/>
  <c r="AJ94" i="9"/>
  <c r="AJ90" i="9"/>
  <c r="AJ86" i="9"/>
  <c r="AJ78" i="9"/>
  <c r="AJ74" i="9"/>
  <c r="AJ66" i="9"/>
  <c r="AJ62" i="9"/>
  <c r="AJ58" i="9"/>
  <c r="AJ54" i="9"/>
  <c r="AJ46" i="9"/>
  <c r="AJ42" i="9"/>
  <c r="AJ34" i="9"/>
  <c r="AJ30" i="9"/>
  <c r="AJ26" i="9"/>
  <c r="AJ22" i="9"/>
  <c r="AJ14" i="9"/>
  <c r="AJ10" i="9"/>
  <c r="AK247" i="9"/>
  <c r="AK243" i="9"/>
  <c r="AK235" i="9"/>
  <c r="AK231" i="9"/>
  <c r="AK227" i="9"/>
  <c r="AK223" i="9"/>
  <c r="AK215" i="9"/>
  <c r="AK211" i="9"/>
  <c r="AK203" i="9"/>
  <c r="AK199" i="9"/>
  <c r="AK195" i="9"/>
  <c r="AK191" i="9"/>
  <c r="AK183" i="9"/>
  <c r="AK179" i="9"/>
  <c r="AK171" i="9"/>
  <c r="AK167" i="9"/>
  <c r="AK163" i="9"/>
  <c r="AK159" i="9"/>
  <c r="AK151" i="9"/>
  <c r="AK147" i="9"/>
  <c r="AK139" i="9"/>
  <c r="AK135" i="9"/>
  <c r="AK131" i="9"/>
  <c r="AK127" i="9"/>
  <c r="AK119" i="9"/>
  <c r="AK115" i="9"/>
  <c r="AK107" i="9"/>
  <c r="AK103" i="9"/>
  <c r="AK99" i="9"/>
  <c r="AK95" i="9"/>
  <c r="AK87" i="9"/>
  <c r="AK83" i="9"/>
  <c r="AK75" i="9"/>
  <c r="AK71" i="9"/>
  <c r="AK67" i="9"/>
  <c r="AK63" i="9"/>
  <c r="AK55" i="9"/>
  <c r="AK51" i="9"/>
  <c r="AK43" i="9"/>
  <c r="AK39" i="9"/>
  <c r="AK35" i="9"/>
  <c r="AK31" i="9"/>
  <c r="AK23" i="9"/>
  <c r="AK19" i="9"/>
  <c r="AK11" i="9"/>
  <c r="AK7" i="9"/>
  <c r="AB2" i="9"/>
  <c r="AE4" i="9"/>
  <c r="AW18" i="8"/>
  <c r="AW19" i="8"/>
  <c r="AW20" i="8"/>
  <c r="AW17" i="8"/>
  <c r="AM24" i="8" s="1"/>
  <c r="AA69" i="8"/>
  <c r="N4" i="8"/>
  <c r="O4" i="8"/>
  <c r="P4" i="8"/>
  <c r="Q4" i="8"/>
  <c r="R4" i="8"/>
  <c r="S4" i="8"/>
  <c r="T4" i="8"/>
  <c r="U4" i="8"/>
  <c r="V4" i="8"/>
  <c r="W4" i="8"/>
  <c r="N5" i="8"/>
  <c r="O5" i="8"/>
  <c r="P5" i="8"/>
  <c r="Q5" i="8"/>
  <c r="R5" i="8"/>
  <c r="S5" i="8"/>
  <c r="T5" i="8"/>
  <c r="U5" i="8"/>
  <c r="V5" i="8"/>
  <c r="W5" i="8"/>
  <c r="N6" i="8"/>
  <c r="O6" i="8"/>
  <c r="P6" i="8"/>
  <c r="Q6" i="8"/>
  <c r="R6" i="8"/>
  <c r="S6" i="8"/>
  <c r="T6" i="8"/>
  <c r="U6" i="8"/>
  <c r="V6" i="8"/>
  <c r="W6" i="8"/>
  <c r="N7" i="8"/>
  <c r="O7" i="8"/>
  <c r="P7" i="8"/>
  <c r="Q7" i="8"/>
  <c r="R7" i="8"/>
  <c r="S7" i="8"/>
  <c r="T7" i="8"/>
  <c r="U7" i="8"/>
  <c r="V7" i="8"/>
  <c r="W7" i="8"/>
  <c r="N8" i="8"/>
  <c r="O8" i="8"/>
  <c r="P8" i="8"/>
  <c r="Q8" i="8"/>
  <c r="R8" i="8"/>
  <c r="S8" i="8"/>
  <c r="T8" i="8"/>
  <c r="U8" i="8"/>
  <c r="V8" i="8"/>
  <c r="W8" i="8"/>
  <c r="N9" i="8"/>
  <c r="O9" i="8"/>
  <c r="P9" i="8"/>
  <c r="Q9" i="8"/>
  <c r="R9" i="8"/>
  <c r="S9" i="8"/>
  <c r="T9" i="8"/>
  <c r="U9" i="8"/>
  <c r="V9" i="8"/>
  <c r="W9" i="8"/>
  <c r="N10" i="8"/>
  <c r="O10" i="8"/>
  <c r="P10" i="8"/>
  <c r="Q10" i="8"/>
  <c r="R10" i="8"/>
  <c r="S10" i="8"/>
  <c r="T10" i="8"/>
  <c r="U10" i="8"/>
  <c r="V10" i="8"/>
  <c r="W10" i="8"/>
  <c r="N11" i="8"/>
  <c r="O11" i="8"/>
  <c r="P11" i="8"/>
  <c r="Q11" i="8"/>
  <c r="R11" i="8"/>
  <c r="S11" i="8"/>
  <c r="T11" i="8"/>
  <c r="U11" i="8"/>
  <c r="V11" i="8"/>
  <c r="W11" i="8"/>
  <c r="N12" i="8"/>
  <c r="O12" i="8"/>
  <c r="P12" i="8"/>
  <c r="Q12" i="8"/>
  <c r="R12" i="8"/>
  <c r="S12" i="8"/>
  <c r="T12" i="8"/>
  <c r="U12" i="8"/>
  <c r="V12" i="8"/>
  <c r="W12" i="8"/>
  <c r="N13" i="8"/>
  <c r="O13" i="8"/>
  <c r="P13" i="8"/>
  <c r="Q13" i="8"/>
  <c r="R13" i="8"/>
  <c r="S13" i="8"/>
  <c r="T13" i="8"/>
  <c r="U13" i="8"/>
  <c r="V13" i="8"/>
  <c r="W13" i="8"/>
  <c r="N14" i="8"/>
  <c r="O14" i="8"/>
  <c r="P14" i="8"/>
  <c r="Q14" i="8"/>
  <c r="R14" i="8"/>
  <c r="S14" i="8"/>
  <c r="T14" i="8"/>
  <c r="U14" i="8"/>
  <c r="V14" i="8"/>
  <c r="W14" i="8"/>
  <c r="N15" i="8"/>
  <c r="O15" i="8"/>
  <c r="P15" i="8"/>
  <c r="Q15" i="8"/>
  <c r="R15" i="8"/>
  <c r="S15" i="8"/>
  <c r="T15" i="8"/>
  <c r="U15" i="8"/>
  <c r="V15" i="8"/>
  <c r="W15" i="8"/>
  <c r="N16" i="8"/>
  <c r="O16" i="8"/>
  <c r="P16" i="8"/>
  <c r="Q16" i="8"/>
  <c r="R16" i="8"/>
  <c r="S16" i="8"/>
  <c r="T16" i="8"/>
  <c r="U16" i="8"/>
  <c r="V16" i="8"/>
  <c r="W16" i="8"/>
  <c r="N17" i="8"/>
  <c r="O17" i="8"/>
  <c r="P17" i="8"/>
  <c r="Q17" i="8"/>
  <c r="R17" i="8"/>
  <c r="S17" i="8"/>
  <c r="T17" i="8"/>
  <c r="U17" i="8"/>
  <c r="V17" i="8"/>
  <c r="W17" i="8"/>
  <c r="N18" i="8"/>
  <c r="O18" i="8"/>
  <c r="P18" i="8"/>
  <c r="Q18" i="8"/>
  <c r="R18" i="8"/>
  <c r="S18" i="8"/>
  <c r="T18" i="8"/>
  <c r="U18" i="8"/>
  <c r="V18" i="8"/>
  <c r="W18" i="8"/>
  <c r="N19" i="8"/>
  <c r="O19" i="8"/>
  <c r="P19" i="8"/>
  <c r="Q19" i="8"/>
  <c r="R19" i="8"/>
  <c r="S19" i="8"/>
  <c r="T19" i="8"/>
  <c r="U19" i="8"/>
  <c r="V19" i="8"/>
  <c r="W19" i="8"/>
  <c r="N20" i="8"/>
  <c r="O20" i="8"/>
  <c r="P20" i="8"/>
  <c r="Q20" i="8"/>
  <c r="R20" i="8"/>
  <c r="S20" i="8"/>
  <c r="T20" i="8"/>
  <c r="U20" i="8"/>
  <c r="V20" i="8"/>
  <c r="W20" i="8"/>
  <c r="N21" i="8"/>
  <c r="O21" i="8"/>
  <c r="P21" i="8"/>
  <c r="Q21" i="8"/>
  <c r="R21" i="8"/>
  <c r="S21" i="8"/>
  <c r="T21" i="8"/>
  <c r="U21" i="8"/>
  <c r="V21" i="8"/>
  <c r="W21" i="8"/>
  <c r="N22" i="8"/>
  <c r="O22" i="8"/>
  <c r="P22" i="8"/>
  <c r="Q22" i="8"/>
  <c r="R22" i="8"/>
  <c r="S22" i="8"/>
  <c r="T22" i="8"/>
  <c r="U22" i="8"/>
  <c r="V22" i="8"/>
  <c r="W22" i="8"/>
  <c r="N23" i="8"/>
  <c r="O23" i="8"/>
  <c r="P23" i="8"/>
  <c r="Q23" i="8"/>
  <c r="R23" i="8"/>
  <c r="S23" i="8"/>
  <c r="T23" i="8"/>
  <c r="U23" i="8"/>
  <c r="V23" i="8"/>
  <c r="W23" i="8"/>
  <c r="N24" i="8"/>
  <c r="O24" i="8"/>
  <c r="P24" i="8"/>
  <c r="Q24" i="8"/>
  <c r="R24" i="8"/>
  <c r="S24" i="8"/>
  <c r="T24" i="8"/>
  <c r="U24" i="8"/>
  <c r="V24" i="8"/>
  <c r="W24" i="8"/>
  <c r="N25" i="8"/>
  <c r="O25" i="8"/>
  <c r="P25" i="8"/>
  <c r="Q25" i="8"/>
  <c r="R25" i="8"/>
  <c r="S25" i="8"/>
  <c r="T25" i="8"/>
  <c r="U25" i="8"/>
  <c r="V25" i="8"/>
  <c r="W25" i="8"/>
  <c r="N26" i="8"/>
  <c r="O26" i="8"/>
  <c r="P26" i="8"/>
  <c r="Q26" i="8"/>
  <c r="R26" i="8"/>
  <c r="S26" i="8"/>
  <c r="T26" i="8"/>
  <c r="U26" i="8"/>
  <c r="V26" i="8"/>
  <c r="W26" i="8"/>
  <c r="N27" i="8"/>
  <c r="O27" i="8"/>
  <c r="P27" i="8"/>
  <c r="Q27" i="8"/>
  <c r="R27" i="8"/>
  <c r="S27" i="8"/>
  <c r="T27" i="8"/>
  <c r="U27" i="8"/>
  <c r="V27" i="8"/>
  <c r="W27" i="8"/>
  <c r="N28" i="8"/>
  <c r="O28" i="8"/>
  <c r="P28" i="8"/>
  <c r="Q28" i="8"/>
  <c r="R28" i="8"/>
  <c r="S28" i="8"/>
  <c r="T28" i="8"/>
  <c r="U28" i="8"/>
  <c r="V28" i="8"/>
  <c r="W28" i="8"/>
  <c r="N29" i="8"/>
  <c r="O29" i="8"/>
  <c r="P29" i="8"/>
  <c r="Q29" i="8"/>
  <c r="R29" i="8"/>
  <c r="S29" i="8"/>
  <c r="T29" i="8"/>
  <c r="U29" i="8"/>
  <c r="V29" i="8"/>
  <c r="W29" i="8"/>
  <c r="N30" i="8"/>
  <c r="O30" i="8"/>
  <c r="P30" i="8"/>
  <c r="Q30" i="8"/>
  <c r="R30" i="8"/>
  <c r="S30" i="8"/>
  <c r="T30" i="8"/>
  <c r="U30" i="8"/>
  <c r="V30" i="8"/>
  <c r="W30" i="8"/>
  <c r="N31" i="8"/>
  <c r="O31" i="8"/>
  <c r="P31" i="8"/>
  <c r="Q31" i="8"/>
  <c r="R31" i="8"/>
  <c r="S31" i="8"/>
  <c r="T31" i="8"/>
  <c r="U31" i="8"/>
  <c r="V31" i="8"/>
  <c r="W31" i="8"/>
  <c r="N32" i="8"/>
  <c r="O32" i="8"/>
  <c r="P32" i="8"/>
  <c r="Q32" i="8"/>
  <c r="R32" i="8"/>
  <c r="S32" i="8"/>
  <c r="T32" i="8"/>
  <c r="U32" i="8"/>
  <c r="V32" i="8"/>
  <c r="W32" i="8"/>
  <c r="N33" i="8"/>
  <c r="O33" i="8"/>
  <c r="P33" i="8"/>
  <c r="Q33" i="8"/>
  <c r="R33" i="8"/>
  <c r="S33" i="8"/>
  <c r="T33" i="8"/>
  <c r="U33" i="8"/>
  <c r="V33" i="8"/>
  <c r="W33" i="8"/>
  <c r="N34" i="8"/>
  <c r="O34" i="8"/>
  <c r="P34" i="8"/>
  <c r="Q34" i="8"/>
  <c r="R34" i="8"/>
  <c r="S34" i="8"/>
  <c r="T34" i="8"/>
  <c r="U34" i="8"/>
  <c r="V34" i="8"/>
  <c r="W34" i="8"/>
  <c r="N35" i="8"/>
  <c r="O35" i="8"/>
  <c r="P35" i="8"/>
  <c r="Q35" i="8"/>
  <c r="R35" i="8"/>
  <c r="S35" i="8"/>
  <c r="T35" i="8"/>
  <c r="U35" i="8"/>
  <c r="V35" i="8"/>
  <c r="W35" i="8"/>
  <c r="N36" i="8"/>
  <c r="O36" i="8"/>
  <c r="P36" i="8"/>
  <c r="Q36" i="8"/>
  <c r="R36" i="8"/>
  <c r="S36" i="8"/>
  <c r="T36" i="8"/>
  <c r="U36" i="8"/>
  <c r="V36" i="8"/>
  <c r="W36" i="8"/>
  <c r="N37" i="8"/>
  <c r="O37" i="8"/>
  <c r="P37" i="8"/>
  <c r="Q37" i="8"/>
  <c r="R37" i="8"/>
  <c r="S37" i="8"/>
  <c r="T37" i="8"/>
  <c r="U37" i="8"/>
  <c r="V37" i="8"/>
  <c r="W37" i="8"/>
  <c r="N38" i="8"/>
  <c r="O38" i="8"/>
  <c r="P38" i="8"/>
  <c r="Q38" i="8"/>
  <c r="R38" i="8"/>
  <c r="S38" i="8"/>
  <c r="T38" i="8"/>
  <c r="U38" i="8"/>
  <c r="V38" i="8"/>
  <c r="W38" i="8"/>
  <c r="N39" i="8"/>
  <c r="O39" i="8"/>
  <c r="P39" i="8"/>
  <c r="Q39" i="8"/>
  <c r="R39" i="8"/>
  <c r="S39" i="8"/>
  <c r="T39" i="8"/>
  <c r="U39" i="8"/>
  <c r="V39" i="8"/>
  <c r="W39" i="8"/>
  <c r="N40" i="8"/>
  <c r="O40" i="8"/>
  <c r="P40" i="8"/>
  <c r="Q40" i="8"/>
  <c r="R40" i="8"/>
  <c r="S40" i="8"/>
  <c r="T40" i="8"/>
  <c r="U40" i="8"/>
  <c r="V40" i="8"/>
  <c r="W40" i="8"/>
  <c r="N41" i="8"/>
  <c r="O41" i="8"/>
  <c r="P41" i="8"/>
  <c r="Q41" i="8"/>
  <c r="R41" i="8"/>
  <c r="S41" i="8"/>
  <c r="T41" i="8"/>
  <c r="U41" i="8"/>
  <c r="V41" i="8"/>
  <c r="W41" i="8"/>
  <c r="N42" i="8"/>
  <c r="O42" i="8"/>
  <c r="P42" i="8"/>
  <c r="Q42" i="8"/>
  <c r="R42" i="8"/>
  <c r="S42" i="8"/>
  <c r="T42" i="8"/>
  <c r="U42" i="8"/>
  <c r="V42" i="8"/>
  <c r="W42" i="8"/>
  <c r="N43" i="8"/>
  <c r="O43" i="8"/>
  <c r="P43" i="8"/>
  <c r="Q43" i="8"/>
  <c r="R43" i="8"/>
  <c r="S43" i="8"/>
  <c r="T43" i="8"/>
  <c r="U43" i="8"/>
  <c r="V43" i="8"/>
  <c r="W43" i="8"/>
  <c r="N44" i="8"/>
  <c r="O44" i="8"/>
  <c r="P44" i="8"/>
  <c r="Q44" i="8"/>
  <c r="R44" i="8"/>
  <c r="S44" i="8"/>
  <c r="T44" i="8"/>
  <c r="U44" i="8"/>
  <c r="V44" i="8"/>
  <c r="W44" i="8"/>
  <c r="N45" i="8"/>
  <c r="O45" i="8"/>
  <c r="P45" i="8"/>
  <c r="Q45" i="8"/>
  <c r="R45" i="8"/>
  <c r="S45" i="8"/>
  <c r="T45" i="8"/>
  <c r="U45" i="8"/>
  <c r="V45" i="8"/>
  <c r="W45" i="8"/>
  <c r="N46" i="8"/>
  <c r="O46" i="8"/>
  <c r="P46" i="8"/>
  <c r="Q46" i="8"/>
  <c r="R46" i="8"/>
  <c r="S46" i="8"/>
  <c r="T46" i="8"/>
  <c r="U46" i="8"/>
  <c r="V46" i="8"/>
  <c r="W46" i="8"/>
  <c r="N47" i="8"/>
  <c r="O47" i="8"/>
  <c r="P47" i="8"/>
  <c r="Q47" i="8"/>
  <c r="R47" i="8"/>
  <c r="S47" i="8"/>
  <c r="T47" i="8"/>
  <c r="U47" i="8"/>
  <c r="V47" i="8"/>
  <c r="W47" i="8"/>
  <c r="N48" i="8"/>
  <c r="O48" i="8"/>
  <c r="P48" i="8"/>
  <c r="Q48" i="8"/>
  <c r="R48" i="8"/>
  <c r="S48" i="8"/>
  <c r="T48" i="8"/>
  <c r="U48" i="8"/>
  <c r="V48" i="8"/>
  <c r="W48" i="8"/>
  <c r="N49" i="8"/>
  <c r="O49" i="8"/>
  <c r="P49" i="8"/>
  <c r="Q49" i="8"/>
  <c r="R49" i="8"/>
  <c r="S49" i="8"/>
  <c r="T49" i="8"/>
  <c r="U49" i="8"/>
  <c r="V49" i="8"/>
  <c r="W49" i="8"/>
  <c r="N50" i="8"/>
  <c r="O50" i="8"/>
  <c r="P50" i="8"/>
  <c r="Q50" i="8"/>
  <c r="R50" i="8"/>
  <c r="S50" i="8"/>
  <c r="T50" i="8"/>
  <c r="U50" i="8"/>
  <c r="V50" i="8"/>
  <c r="W50" i="8"/>
  <c r="N51" i="8"/>
  <c r="O51" i="8"/>
  <c r="P51" i="8"/>
  <c r="Q51" i="8"/>
  <c r="R51" i="8"/>
  <c r="S51" i="8"/>
  <c r="T51" i="8"/>
  <c r="U51" i="8"/>
  <c r="V51" i="8"/>
  <c r="W51" i="8"/>
  <c r="N52" i="8"/>
  <c r="O52" i="8"/>
  <c r="P52" i="8"/>
  <c r="Q52" i="8"/>
  <c r="R52" i="8"/>
  <c r="S52" i="8"/>
  <c r="T52" i="8"/>
  <c r="U52" i="8"/>
  <c r="V52" i="8"/>
  <c r="W52" i="8"/>
  <c r="N53" i="8"/>
  <c r="O53" i="8"/>
  <c r="P53" i="8"/>
  <c r="Q53" i="8"/>
  <c r="R53" i="8"/>
  <c r="S53" i="8"/>
  <c r="T53" i="8"/>
  <c r="U53" i="8"/>
  <c r="V53" i="8"/>
  <c r="W53" i="8"/>
  <c r="N54" i="8"/>
  <c r="O54" i="8"/>
  <c r="P54" i="8"/>
  <c r="Q54" i="8"/>
  <c r="R54" i="8"/>
  <c r="S54" i="8"/>
  <c r="T54" i="8"/>
  <c r="U54" i="8"/>
  <c r="V54" i="8"/>
  <c r="W54" i="8"/>
  <c r="N55" i="8"/>
  <c r="O55" i="8"/>
  <c r="P55" i="8"/>
  <c r="Q55" i="8"/>
  <c r="R55" i="8"/>
  <c r="S55" i="8"/>
  <c r="T55" i="8"/>
  <c r="U55" i="8"/>
  <c r="V55" i="8"/>
  <c r="W55" i="8"/>
  <c r="N56" i="8"/>
  <c r="O56" i="8"/>
  <c r="P56" i="8"/>
  <c r="Q56" i="8"/>
  <c r="R56" i="8"/>
  <c r="S56" i="8"/>
  <c r="T56" i="8"/>
  <c r="U56" i="8"/>
  <c r="V56" i="8"/>
  <c r="W56" i="8"/>
  <c r="N57" i="8"/>
  <c r="O57" i="8"/>
  <c r="P57" i="8"/>
  <c r="Q57" i="8"/>
  <c r="R57" i="8"/>
  <c r="S57" i="8"/>
  <c r="T57" i="8"/>
  <c r="U57" i="8"/>
  <c r="V57" i="8"/>
  <c r="W57" i="8"/>
  <c r="N58" i="8"/>
  <c r="O58" i="8"/>
  <c r="P58" i="8"/>
  <c r="Q58" i="8"/>
  <c r="R58" i="8"/>
  <c r="S58" i="8"/>
  <c r="T58" i="8"/>
  <c r="U58" i="8"/>
  <c r="V58" i="8"/>
  <c r="W58" i="8"/>
  <c r="N59" i="8"/>
  <c r="O59" i="8"/>
  <c r="P59" i="8"/>
  <c r="Q59" i="8"/>
  <c r="R59" i="8"/>
  <c r="S59" i="8"/>
  <c r="T59" i="8"/>
  <c r="U59" i="8"/>
  <c r="V59" i="8"/>
  <c r="W59" i="8"/>
  <c r="N60" i="8"/>
  <c r="O60" i="8"/>
  <c r="P60" i="8"/>
  <c r="Q60" i="8"/>
  <c r="R60" i="8"/>
  <c r="S60" i="8"/>
  <c r="T60" i="8"/>
  <c r="U60" i="8"/>
  <c r="V60" i="8"/>
  <c r="W60" i="8"/>
  <c r="N61" i="8"/>
  <c r="O61" i="8"/>
  <c r="P61" i="8"/>
  <c r="Q61" i="8"/>
  <c r="R61" i="8"/>
  <c r="S61" i="8"/>
  <c r="T61" i="8"/>
  <c r="U61" i="8"/>
  <c r="V61" i="8"/>
  <c r="W61" i="8"/>
  <c r="N62" i="8"/>
  <c r="O62" i="8"/>
  <c r="P62" i="8"/>
  <c r="Q62" i="8"/>
  <c r="R62" i="8"/>
  <c r="S62" i="8"/>
  <c r="T62" i="8"/>
  <c r="U62" i="8"/>
  <c r="V62" i="8"/>
  <c r="W62" i="8"/>
  <c r="N63" i="8"/>
  <c r="O63" i="8"/>
  <c r="P63" i="8"/>
  <c r="Q63" i="8"/>
  <c r="R63" i="8"/>
  <c r="S63" i="8"/>
  <c r="T63" i="8"/>
  <c r="U63" i="8"/>
  <c r="V63" i="8"/>
  <c r="W63" i="8"/>
  <c r="N64" i="8"/>
  <c r="O64" i="8"/>
  <c r="P64" i="8"/>
  <c r="Q64" i="8"/>
  <c r="R64" i="8"/>
  <c r="S64" i="8"/>
  <c r="T64" i="8"/>
  <c r="U64" i="8"/>
  <c r="V64" i="8"/>
  <c r="W64" i="8"/>
  <c r="N65" i="8"/>
  <c r="O65" i="8"/>
  <c r="P65" i="8"/>
  <c r="Q65" i="8"/>
  <c r="R65" i="8"/>
  <c r="S65" i="8"/>
  <c r="T65" i="8"/>
  <c r="U65" i="8"/>
  <c r="V65" i="8"/>
  <c r="W65" i="8"/>
  <c r="N66" i="8"/>
  <c r="O66" i="8"/>
  <c r="P66" i="8"/>
  <c r="Q66" i="8"/>
  <c r="R66" i="8"/>
  <c r="S66" i="8"/>
  <c r="T66" i="8"/>
  <c r="U66" i="8"/>
  <c r="V66" i="8"/>
  <c r="W66" i="8"/>
  <c r="N67" i="8"/>
  <c r="O67" i="8"/>
  <c r="P67" i="8"/>
  <c r="Q67" i="8"/>
  <c r="R67" i="8"/>
  <c r="S67" i="8"/>
  <c r="T67" i="8"/>
  <c r="U67" i="8"/>
  <c r="V67" i="8"/>
  <c r="W67" i="8"/>
  <c r="N68" i="8"/>
  <c r="O68" i="8"/>
  <c r="P68" i="8"/>
  <c r="Q68" i="8"/>
  <c r="R68" i="8"/>
  <c r="S68" i="8"/>
  <c r="T68" i="8"/>
  <c r="U68" i="8"/>
  <c r="V68" i="8"/>
  <c r="W68" i="8"/>
  <c r="N69" i="8"/>
  <c r="O69" i="8"/>
  <c r="P69" i="8"/>
  <c r="Q69" i="8"/>
  <c r="R69" i="8"/>
  <c r="S69" i="8"/>
  <c r="T69" i="8"/>
  <c r="U69" i="8"/>
  <c r="V69" i="8"/>
  <c r="W69" i="8"/>
  <c r="N70" i="8"/>
  <c r="O70" i="8"/>
  <c r="P70" i="8"/>
  <c r="Q70" i="8"/>
  <c r="R70" i="8"/>
  <c r="S70" i="8"/>
  <c r="T70" i="8"/>
  <c r="U70" i="8"/>
  <c r="V70" i="8"/>
  <c r="W70" i="8"/>
  <c r="N71" i="8"/>
  <c r="O71" i="8"/>
  <c r="P71" i="8"/>
  <c r="Q71" i="8"/>
  <c r="R71" i="8"/>
  <c r="S71" i="8"/>
  <c r="T71" i="8"/>
  <c r="U71" i="8"/>
  <c r="V71" i="8"/>
  <c r="W71" i="8"/>
  <c r="N72" i="8"/>
  <c r="O72" i="8"/>
  <c r="P72" i="8"/>
  <c r="Q72" i="8"/>
  <c r="R72" i="8"/>
  <c r="S72" i="8"/>
  <c r="T72" i="8"/>
  <c r="U72" i="8"/>
  <c r="V72" i="8"/>
  <c r="W72" i="8"/>
  <c r="N73" i="8"/>
  <c r="O73" i="8"/>
  <c r="P73" i="8"/>
  <c r="Q73" i="8"/>
  <c r="R73" i="8"/>
  <c r="S73" i="8"/>
  <c r="T73" i="8"/>
  <c r="U73" i="8"/>
  <c r="V73" i="8"/>
  <c r="W73" i="8"/>
  <c r="N74" i="8"/>
  <c r="O74" i="8"/>
  <c r="P74" i="8"/>
  <c r="Q74" i="8"/>
  <c r="R74" i="8"/>
  <c r="S74" i="8"/>
  <c r="T74" i="8"/>
  <c r="U74" i="8"/>
  <c r="V74" i="8"/>
  <c r="W74" i="8"/>
  <c r="N75" i="8"/>
  <c r="O75" i="8"/>
  <c r="P75" i="8"/>
  <c r="Q75" i="8"/>
  <c r="R75" i="8"/>
  <c r="S75" i="8"/>
  <c r="T75" i="8"/>
  <c r="U75" i="8"/>
  <c r="V75" i="8"/>
  <c r="W75" i="8"/>
  <c r="N76" i="8"/>
  <c r="O76" i="8"/>
  <c r="P76" i="8"/>
  <c r="Q76" i="8"/>
  <c r="R76" i="8"/>
  <c r="S76" i="8"/>
  <c r="T76" i="8"/>
  <c r="U76" i="8"/>
  <c r="V76" i="8"/>
  <c r="W76" i="8"/>
  <c r="N77" i="8"/>
  <c r="O77" i="8"/>
  <c r="P77" i="8"/>
  <c r="Q77" i="8"/>
  <c r="R77" i="8"/>
  <c r="S77" i="8"/>
  <c r="T77" i="8"/>
  <c r="U77" i="8"/>
  <c r="V77" i="8"/>
  <c r="W77" i="8"/>
  <c r="N78" i="8"/>
  <c r="O78" i="8"/>
  <c r="P78" i="8"/>
  <c r="Q78" i="8"/>
  <c r="R78" i="8"/>
  <c r="S78" i="8"/>
  <c r="T78" i="8"/>
  <c r="U78" i="8"/>
  <c r="V78" i="8"/>
  <c r="W78" i="8"/>
  <c r="N79" i="8"/>
  <c r="O79" i="8"/>
  <c r="P79" i="8"/>
  <c r="Q79" i="8"/>
  <c r="R79" i="8"/>
  <c r="S79" i="8"/>
  <c r="T79" i="8"/>
  <c r="U79" i="8"/>
  <c r="V79" i="8"/>
  <c r="W79" i="8"/>
  <c r="N80" i="8"/>
  <c r="O80" i="8"/>
  <c r="P80" i="8"/>
  <c r="Q80" i="8"/>
  <c r="R80" i="8"/>
  <c r="S80" i="8"/>
  <c r="T80" i="8"/>
  <c r="U80" i="8"/>
  <c r="V80" i="8"/>
  <c r="W80" i="8"/>
  <c r="N81" i="8"/>
  <c r="O81" i="8"/>
  <c r="P81" i="8"/>
  <c r="Q81" i="8"/>
  <c r="R81" i="8"/>
  <c r="S81" i="8"/>
  <c r="T81" i="8"/>
  <c r="U81" i="8"/>
  <c r="V81" i="8"/>
  <c r="W81" i="8"/>
  <c r="N82" i="8"/>
  <c r="O82" i="8"/>
  <c r="P82" i="8"/>
  <c r="Q82" i="8"/>
  <c r="R82" i="8"/>
  <c r="S82" i="8"/>
  <c r="T82" i="8"/>
  <c r="U82" i="8"/>
  <c r="V82" i="8"/>
  <c r="W82" i="8"/>
  <c r="N83" i="8"/>
  <c r="O83" i="8"/>
  <c r="P83" i="8"/>
  <c r="Q83" i="8"/>
  <c r="R83" i="8"/>
  <c r="S83" i="8"/>
  <c r="T83" i="8"/>
  <c r="U83" i="8"/>
  <c r="V83" i="8"/>
  <c r="W83" i="8"/>
  <c r="N84" i="8"/>
  <c r="O84" i="8"/>
  <c r="P84" i="8"/>
  <c r="Q84" i="8"/>
  <c r="R84" i="8"/>
  <c r="S84" i="8"/>
  <c r="T84" i="8"/>
  <c r="U84" i="8"/>
  <c r="V84" i="8"/>
  <c r="W84" i="8"/>
  <c r="N85" i="8"/>
  <c r="O85" i="8"/>
  <c r="P85" i="8"/>
  <c r="Q85" i="8"/>
  <c r="R85" i="8"/>
  <c r="S85" i="8"/>
  <c r="T85" i="8"/>
  <c r="U85" i="8"/>
  <c r="V85" i="8"/>
  <c r="W85" i="8"/>
  <c r="N86" i="8"/>
  <c r="O86" i="8"/>
  <c r="P86" i="8"/>
  <c r="Q86" i="8"/>
  <c r="R86" i="8"/>
  <c r="S86" i="8"/>
  <c r="T86" i="8"/>
  <c r="U86" i="8"/>
  <c r="V86" i="8"/>
  <c r="W86" i="8"/>
  <c r="N87" i="8"/>
  <c r="O87" i="8"/>
  <c r="P87" i="8"/>
  <c r="Q87" i="8"/>
  <c r="R87" i="8"/>
  <c r="S87" i="8"/>
  <c r="T87" i="8"/>
  <c r="U87" i="8"/>
  <c r="V87" i="8"/>
  <c r="W87" i="8"/>
  <c r="N88" i="8"/>
  <c r="O88" i="8"/>
  <c r="P88" i="8"/>
  <c r="Q88" i="8"/>
  <c r="R88" i="8"/>
  <c r="S88" i="8"/>
  <c r="T88" i="8"/>
  <c r="U88" i="8"/>
  <c r="V88" i="8"/>
  <c r="W88" i="8"/>
  <c r="N89" i="8"/>
  <c r="O89" i="8"/>
  <c r="P89" i="8"/>
  <c r="Q89" i="8"/>
  <c r="R89" i="8"/>
  <c r="S89" i="8"/>
  <c r="T89" i="8"/>
  <c r="U89" i="8"/>
  <c r="V89" i="8"/>
  <c r="W89" i="8"/>
  <c r="N90" i="8"/>
  <c r="O90" i="8"/>
  <c r="P90" i="8"/>
  <c r="Q90" i="8"/>
  <c r="R90" i="8"/>
  <c r="S90" i="8"/>
  <c r="T90" i="8"/>
  <c r="U90" i="8"/>
  <c r="V90" i="8"/>
  <c r="W90" i="8"/>
  <c r="N91" i="8"/>
  <c r="O91" i="8"/>
  <c r="P91" i="8"/>
  <c r="Q91" i="8"/>
  <c r="R91" i="8"/>
  <c r="S91" i="8"/>
  <c r="T91" i="8"/>
  <c r="U91" i="8"/>
  <c r="V91" i="8"/>
  <c r="W91" i="8"/>
  <c r="N92" i="8"/>
  <c r="O92" i="8"/>
  <c r="P92" i="8"/>
  <c r="Q92" i="8"/>
  <c r="R92" i="8"/>
  <c r="S92" i="8"/>
  <c r="T92" i="8"/>
  <c r="U92" i="8"/>
  <c r="V92" i="8"/>
  <c r="W92" i="8"/>
  <c r="N93" i="8"/>
  <c r="O93" i="8"/>
  <c r="P93" i="8"/>
  <c r="Q93" i="8"/>
  <c r="R93" i="8"/>
  <c r="S93" i="8"/>
  <c r="T93" i="8"/>
  <c r="U93" i="8"/>
  <c r="V93" i="8"/>
  <c r="W93" i="8"/>
  <c r="N94" i="8"/>
  <c r="O94" i="8"/>
  <c r="P94" i="8"/>
  <c r="Q94" i="8"/>
  <c r="R94" i="8"/>
  <c r="S94" i="8"/>
  <c r="T94" i="8"/>
  <c r="U94" i="8"/>
  <c r="V94" i="8"/>
  <c r="W94" i="8"/>
  <c r="N95" i="8"/>
  <c r="O95" i="8"/>
  <c r="P95" i="8"/>
  <c r="Q95" i="8"/>
  <c r="R95" i="8"/>
  <c r="S95" i="8"/>
  <c r="T95" i="8"/>
  <c r="U95" i="8"/>
  <c r="V95" i="8"/>
  <c r="W95" i="8"/>
  <c r="N96" i="8"/>
  <c r="O96" i="8"/>
  <c r="P96" i="8"/>
  <c r="Q96" i="8"/>
  <c r="R96" i="8"/>
  <c r="S96" i="8"/>
  <c r="T96" i="8"/>
  <c r="U96" i="8"/>
  <c r="V96" i="8"/>
  <c r="W96" i="8"/>
  <c r="N97" i="8"/>
  <c r="O97" i="8"/>
  <c r="P97" i="8"/>
  <c r="Q97" i="8"/>
  <c r="R97" i="8"/>
  <c r="S97" i="8"/>
  <c r="T97" i="8"/>
  <c r="U97" i="8"/>
  <c r="V97" i="8"/>
  <c r="W97" i="8"/>
  <c r="N98" i="8"/>
  <c r="O98" i="8"/>
  <c r="P98" i="8"/>
  <c r="Q98" i="8"/>
  <c r="R98" i="8"/>
  <c r="S98" i="8"/>
  <c r="T98" i="8"/>
  <c r="U98" i="8"/>
  <c r="V98" i="8"/>
  <c r="W98" i="8"/>
  <c r="N99" i="8"/>
  <c r="O99" i="8"/>
  <c r="P99" i="8"/>
  <c r="Q99" i="8"/>
  <c r="R99" i="8"/>
  <c r="S99" i="8"/>
  <c r="T99" i="8"/>
  <c r="U99" i="8"/>
  <c r="V99" i="8"/>
  <c r="W99" i="8"/>
  <c r="N100" i="8"/>
  <c r="O100" i="8"/>
  <c r="P100" i="8"/>
  <c r="Q100" i="8"/>
  <c r="R100" i="8"/>
  <c r="S100" i="8"/>
  <c r="T100" i="8"/>
  <c r="U100" i="8"/>
  <c r="V100" i="8"/>
  <c r="W100" i="8"/>
  <c r="N101" i="8"/>
  <c r="O101" i="8"/>
  <c r="P101" i="8"/>
  <c r="Q101" i="8"/>
  <c r="R101" i="8"/>
  <c r="S101" i="8"/>
  <c r="T101" i="8"/>
  <c r="U101" i="8"/>
  <c r="V101" i="8"/>
  <c r="W101" i="8"/>
  <c r="N102" i="8"/>
  <c r="O102" i="8"/>
  <c r="P102" i="8"/>
  <c r="Q102" i="8"/>
  <c r="R102" i="8"/>
  <c r="S102" i="8"/>
  <c r="T102" i="8"/>
  <c r="U102" i="8"/>
  <c r="V102" i="8"/>
  <c r="W102" i="8"/>
  <c r="N103" i="8"/>
  <c r="O103" i="8"/>
  <c r="P103" i="8"/>
  <c r="Q103" i="8"/>
  <c r="R103" i="8"/>
  <c r="S103" i="8"/>
  <c r="T103" i="8"/>
  <c r="U103" i="8"/>
  <c r="V103" i="8"/>
  <c r="W103" i="8"/>
  <c r="N104" i="8"/>
  <c r="O104" i="8"/>
  <c r="P104" i="8"/>
  <c r="Q104" i="8"/>
  <c r="R104" i="8"/>
  <c r="S104" i="8"/>
  <c r="T104" i="8"/>
  <c r="U104" i="8"/>
  <c r="V104" i="8"/>
  <c r="W104" i="8"/>
  <c r="N105" i="8"/>
  <c r="O105" i="8"/>
  <c r="P105" i="8"/>
  <c r="Q105" i="8"/>
  <c r="R105" i="8"/>
  <c r="S105" i="8"/>
  <c r="T105" i="8"/>
  <c r="U105" i="8"/>
  <c r="V105" i="8"/>
  <c r="W105" i="8"/>
  <c r="N106" i="8"/>
  <c r="O106" i="8"/>
  <c r="P106" i="8"/>
  <c r="Q106" i="8"/>
  <c r="R106" i="8"/>
  <c r="S106" i="8"/>
  <c r="T106" i="8"/>
  <c r="U106" i="8"/>
  <c r="V106" i="8"/>
  <c r="W106" i="8"/>
  <c r="N107" i="8"/>
  <c r="O107" i="8"/>
  <c r="P107" i="8"/>
  <c r="Q107" i="8"/>
  <c r="R107" i="8"/>
  <c r="S107" i="8"/>
  <c r="T107" i="8"/>
  <c r="U107" i="8"/>
  <c r="V107" i="8"/>
  <c r="W107" i="8"/>
  <c r="N108" i="8"/>
  <c r="O108" i="8"/>
  <c r="P108" i="8"/>
  <c r="Q108" i="8"/>
  <c r="R108" i="8"/>
  <c r="S108" i="8"/>
  <c r="T108" i="8"/>
  <c r="U108" i="8"/>
  <c r="V108" i="8"/>
  <c r="W108" i="8"/>
  <c r="N109" i="8"/>
  <c r="O109" i="8"/>
  <c r="P109" i="8"/>
  <c r="Q109" i="8"/>
  <c r="R109" i="8"/>
  <c r="S109" i="8"/>
  <c r="T109" i="8"/>
  <c r="U109" i="8"/>
  <c r="V109" i="8"/>
  <c r="W109" i="8"/>
  <c r="N110" i="8"/>
  <c r="O110" i="8"/>
  <c r="P110" i="8"/>
  <c r="Q110" i="8"/>
  <c r="R110" i="8"/>
  <c r="S110" i="8"/>
  <c r="T110" i="8"/>
  <c r="U110" i="8"/>
  <c r="V110" i="8"/>
  <c r="W110" i="8"/>
  <c r="N111" i="8"/>
  <c r="O111" i="8"/>
  <c r="P111" i="8"/>
  <c r="Q111" i="8"/>
  <c r="R111" i="8"/>
  <c r="S111" i="8"/>
  <c r="T111" i="8"/>
  <c r="U111" i="8"/>
  <c r="V111" i="8"/>
  <c r="W111" i="8"/>
  <c r="N112" i="8"/>
  <c r="O112" i="8"/>
  <c r="P112" i="8"/>
  <c r="Q112" i="8"/>
  <c r="R112" i="8"/>
  <c r="S112" i="8"/>
  <c r="T112" i="8"/>
  <c r="U112" i="8"/>
  <c r="V112" i="8"/>
  <c r="W112" i="8"/>
  <c r="N113" i="8"/>
  <c r="O113" i="8"/>
  <c r="P113" i="8"/>
  <c r="Q113" i="8"/>
  <c r="R113" i="8"/>
  <c r="S113" i="8"/>
  <c r="T113" i="8"/>
  <c r="U113" i="8"/>
  <c r="V113" i="8"/>
  <c r="W113" i="8"/>
  <c r="N114" i="8"/>
  <c r="O114" i="8"/>
  <c r="P114" i="8"/>
  <c r="Q114" i="8"/>
  <c r="R114" i="8"/>
  <c r="S114" i="8"/>
  <c r="T114" i="8"/>
  <c r="U114" i="8"/>
  <c r="V114" i="8"/>
  <c r="W114" i="8"/>
  <c r="N115" i="8"/>
  <c r="O115" i="8"/>
  <c r="P115" i="8"/>
  <c r="Q115" i="8"/>
  <c r="R115" i="8"/>
  <c r="S115" i="8"/>
  <c r="T115" i="8"/>
  <c r="U115" i="8"/>
  <c r="V115" i="8"/>
  <c r="W115" i="8"/>
  <c r="N116" i="8"/>
  <c r="O116" i="8"/>
  <c r="P116" i="8"/>
  <c r="Q116" i="8"/>
  <c r="R116" i="8"/>
  <c r="S116" i="8"/>
  <c r="T116" i="8"/>
  <c r="U116" i="8"/>
  <c r="V116" i="8"/>
  <c r="W116" i="8"/>
  <c r="N117" i="8"/>
  <c r="O117" i="8"/>
  <c r="P117" i="8"/>
  <c r="Q117" i="8"/>
  <c r="R117" i="8"/>
  <c r="S117" i="8"/>
  <c r="T117" i="8"/>
  <c r="U117" i="8"/>
  <c r="V117" i="8"/>
  <c r="W117" i="8"/>
  <c r="N118" i="8"/>
  <c r="O118" i="8"/>
  <c r="P118" i="8"/>
  <c r="Q118" i="8"/>
  <c r="R118" i="8"/>
  <c r="S118" i="8"/>
  <c r="T118" i="8"/>
  <c r="U118" i="8"/>
  <c r="V118" i="8"/>
  <c r="W118" i="8"/>
  <c r="N119" i="8"/>
  <c r="O119" i="8"/>
  <c r="P119" i="8"/>
  <c r="Q119" i="8"/>
  <c r="R119" i="8"/>
  <c r="S119" i="8"/>
  <c r="T119" i="8"/>
  <c r="U119" i="8"/>
  <c r="V119" i="8"/>
  <c r="W119" i="8"/>
  <c r="N120" i="8"/>
  <c r="O120" i="8"/>
  <c r="P120" i="8"/>
  <c r="Q120" i="8"/>
  <c r="R120" i="8"/>
  <c r="S120" i="8"/>
  <c r="T120" i="8"/>
  <c r="U120" i="8"/>
  <c r="V120" i="8"/>
  <c r="W120" i="8"/>
  <c r="N121" i="8"/>
  <c r="O121" i="8"/>
  <c r="P121" i="8"/>
  <c r="Q121" i="8"/>
  <c r="R121" i="8"/>
  <c r="S121" i="8"/>
  <c r="T121" i="8"/>
  <c r="U121" i="8"/>
  <c r="V121" i="8"/>
  <c r="W121" i="8"/>
  <c r="N122" i="8"/>
  <c r="O122" i="8"/>
  <c r="P122" i="8"/>
  <c r="Q122" i="8"/>
  <c r="R122" i="8"/>
  <c r="S122" i="8"/>
  <c r="T122" i="8"/>
  <c r="U122" i="8"/>
  <c r="V122" i="8"/>
  <c r="W122" i="8"/>
  <c r="N123" i="8"/>
  <c r="O123" i="8"/>
  <c r="P123" i="8"/>
  <c r="Q123" i="8"/>
  <c r="R123" i="8"/>
  <c r="S123" i="8"/>
  <c r="T123" i="8"/>
  <c r="U123" i="8"/>
  <c r="V123" i="8"/>
  <c r="W123" i="8"/>
  <c r="N124" i="8"/>
  <c r="O124" i="8"/>
  <c r="P124" i="8"/>
  <c r="Q124" i="8"/>
  <c r="R124" i="8"/>
  <c r="S124" i="8"/>
  <c r="T124" i="8"/>
  <c r="U124" i="8"/>
  <c r="V124" i="8"/>
  <c r="W124" i="8"/>
  <c r="N125" i="8"/>
  <c r="O125" i="8"/>
  <c r="P125" i="8"/>
  <c r="Q125" i="8"/>
  <c r="R125" i="8"/>
  <c r="S125" i="8"/>
  <c r="T125" i="8"/>
  <c r="U125" i="8"/>
  <c r="V125" i="8"/>
  <c r="W125" i="8"/>
  <c r="N126" i="8"/>
  <c r="O126" i="8"/>
  <c r="P126" i="8"/>
  <c r="Q126" i="8"/>
  <c r="R126" i="8"/>
  <c r="S126" i="8"/>
  <c r="T126" i="8"/>
  <c r="U126" i="8"/>
  <c r="V126" i="8"/>
  <c r="W126" i="8"/>
  <c r="N127" i="8"/>
  <c r="O127" i="8"/>
  <c r="P127" i="8"/>
  <c r="Q127" i="8"/>
  <c r="R127" i="8"/>
  <c r="S127" i="8"/>
  <c r="T127" i="8"/>
  <c r="U127" i="8"/>
  <c r="V127" i="8"/>
  <c r="W127" i="8"/>
  <c r="N128" i="8"/>
  <c r="O128" i="8"/>
  <c r="P128" i="8"/>
  <c r="Q128" i="8"/>
  <c r="R128" i="8"/>
  <c r="S128" i="8"/>
  <c r="T128" i="8"/>
  <c r="U128" i="8"/>
  <c r="V128" i="8"/>
  <c r="W128" i="8"/>
  <c r="N129" i="8"/>
  <c r="O129" i="8"/>
  <c r="P129" i="8"/>
  <c r="Q129" i="8"/>
  <c r="R129" i="8"/>
  <c r="S129" i="8"/>
  <c r="T129" i="8"/>
  <c r="U129" i="8"/>
  <c r="V129" i="8"/>
  <c r="W129" i="8"/>
  <c r="N130" i="8"/>
  <c r="O130" i="8"/>
  <c r="P130" i="8"/>
  <c r="Q130" i="8"/>
  <c r="R130" i="8"/>
  <c r="S130" i="8"/>
  <c r="T130" i="8"/>
  <c r="U130" i="8"/>
  <c r="V130" i="8"/>
  <c r="W130" i="8"/>
  <c r="N131" i="8"/>
  <c r="O131" i="8"/>
  <c r="P131" i="8"/>
  <c r="Q131" i="8"/>
  <c r="R131" i="8"/>
  <c r="S131" i="8"/>
  <c r="T131" i="8"/>
  <c r="U131" i="8"/>
  <c r="V131" i="8"/>
  <c r="W131" i="8"/>
  <c r="N132" i="8"/>
  <c r="O132" i="8"/>
  <c r="P132" i="8"/>
  <c r="Q132" i="8"/>
  <c r="R132" i="8"/>
  <c r="S132" i="8"/>
  <c r="T132" i="8"/>
  <c r="U132" i="8"/>
  <c r="V132" i="8"/>
  <c r="W132" i="8"/>
  <c r="N133" i="8"/>
  <c r="O133" i="8"/>
  <c r="P133" i="8"/>
  <c r="Q133" i="8"/>
  <c r="R133" i="8"/>
  <c r="S133" i="8"/>
  <c r="T133" i="8"/>
  <c r="U133" i="8"/>
  <c r="V133" i="8"/>
  <c r="W133" i="8"/>
  <c r="N134" i="8"/>
  <c r="O134" i="8"/>
  <c r="P134" i="8"/>
  <c r="Q134" i="8"/>
  <c r="R134" i="8"/>
  <c r="S134" i="8"/>
  <c r="T134" i="8"/>
  <c r="U134" i="8"/>
  <c r="V134" i="8"/>
  <c r="W134" i="8"/>
  <c r="N135" i="8"/>
  <c r="O135" i="8"/>
  <c r="P135" i="8"/>
  <c r="Q135" i="8"/>
  <c r="R135" i="8"/>
  <c r="S135" i="8"/>
  <c r="T135" i="8"/>
  <c r="U135" i="8"/>
  <c r="V135" i="8"/>
  <c r="W135" i="8"/>
  <c r="N136" i="8"/>
  <c r="O136" i="8"/>
  <c r="P136" i="8"/>
  <c r="Q136" i="8"/>
  <c r="R136" i="8"/>
  <c r="S136" i="8"/>
  <c r="T136" i="8"/>
  <c r="U136" i="8"/>
  <c r="V136" i="8"/>
  <c r="W136" i="8"/>
  <c r="N137" i="8"/>
  <c r="O137" i="8"/>
  <c r="P137" i="8"/>
  <c r="Q137" i="8"/>
  <c r="R137" i="8"/>
  <c r="S137" i="8"/>
  <c r="T137" i="8"/>
  <c r="U137" i="8"/>
  <c r="V137" i="8"/>
  <c r="W137" i="8"/>
  <c r="N138" i="8"/>
  <c r="O138" i="8"/>
  <c r="P138" i="8"/>
  <c r="Q138" i="8"/>
  <c r="R138" i="8"/>
  <c r="S138" i="8"/>
  <c r="T138" i="8"/>
  <c r="U138" i="8"/>
  <c r="V138" i="8"/>
  <c r="W138" i="8"/>
  <c r="N139" i="8"/>
  <c r="O139" i="8"/>
  <c r="P139" i="8"/>
  <c r="Q139" i="8"/>
  <c r="R139" i="8"/>
  <c r="S139" i="8"/>
  <c r="T139" i="8"/>
  <c r="U139" i="8"/>
  <c r="V139" i="8"/>
  <c r="W139" i="8"/>
  <c r="N140" i="8"/>
  <c r="O140" i="8"/>
  <c r="P140" i="8"/>
  <c r="Q140" i="8"/>
  <c r="R140" i="8"/>
  <c r="S140" i="8"/>
  <c r="T140" i="8"/>
  <c r="U140" i="8"/>
  <c r="V140" i="8"/>
  <c r="W140" i="8"/>
  <c r="N141" i="8"/>
  <c r="O141" i="8"/>
  <c r="P141" i="8"/>
  <c r="Q141" i="8"/>
  <c r="R141" i="8"/>
  <c r="S141" i="8"/>
  <c r="T141" i="8"/>
  <c r="U141" i="8"/>
  <c r="V141" i="8"/>
  <c r="W141" i="8"/>
  <c r="N142" i="8"/>
  <c r="O142" i="8"/>
  <c r="P142" i="8"/>
  <c r="Q142" i="8"/>
  <c r="R142" i="8"/>
  <c r="S142" i="8"/>
  <c r="T142" i="8"/>
  <c r="U142" i="8"/>
  <c r="V142" i="8"/>
  <c r="W142" i="8"/>
  <c r="N143" i="8"/>
  <c r="O143" i="8"/>
  <c r="P143" i="8"/>
  <c r="Q143" i="8"/>
  <c r="R143" i="8"/>
  <c r="S143" i="8"/>
  <c r="T143" i="8"/>
  <c r="U143" i="8"/>
  <c r="V143" i="8"/>
  <c r="W143" i="8"/>
  <c r="N144" i="8"/>
  <c r="O144" i="8"/>
  <c r="P144" i="8"/>
  <c r="Q144" i="8"/>
  <c r="R144" i="8"/>
  <c r="S144" i="8"/>
  <c r="T144" i="8"/>
  <c r="U144" i="8"/>
  <c r="V144" i="8"/>
  <c r="W144" i="8"/>
  <c r="N145" i="8"/>
  <c r="O145" i="8"/>
  <c r="P145" i="8"/>
  <c r="Q145" i="8"/>
  <c r="R145" i="8"/>
  <c r="S145" i="8"/>
  <c r="T145" i="8"/>
  <c r="U145" i="8"/>
  <c r="V145" i="8"/>
  <c r="W145" i="8"/>
  <c r="N146" i="8"/>
  <c r="O146" i="8"/>
  <c r="P146" i="8"/>
  <c r="Q146" i="8"/>
  <c r="R146" i="8"/>
  <c r="S146" i="8"/>
  <c r="T146" i="8"/>
  <c r="U146" i="8"/>
  <c r="V146" i="8"/>
  <c r="W146" i="8"/>
  <c r="N147" i="8"/>
  <c r="O147" i="8"/>
  <c r="P147" i="8"/>
  <c r="Q147" i="8"/>
  <c r="R147" i="8"/>
  <c r="S147" i="8"/>
  <c r="T147" i="8"/>
  <c r="U147" i="8"/>
  <c r="V147" i="8"/>
  <c r="W147" i="8"/>
  <c r="N148" i="8"/>
  <c r="O148" i="8"/>
  <c r="P148" i="8"/>
  <c r="Q148" i="8"/>
  <c r="R148" i="8"/>
  <c r="S148" i="8"/>
  <c r="T148" i="8"/>
  <c r="U148" i="8"/>
  <c r="V148" i="8"/>
  <c r="W148" i="8"/>
  <c r="N149" i="8"/>
  <c r="O149" i="8"/>
  <c r="P149" i="8"/>
  <c r="Q149" i="8"/>
  <c r="R149" i="8"/>
  <c r="S149" i="8"/>
  <c r="T149" i="8"/>
  <c r="U149" i="8"/>
  <c r="V149" i="8"/>
  <c r="W149" i="8"/>
  <c r="N150" i="8"/>
  <c r="O150" i="8"/>
  <c r="P150" i="8"/>
  <c r="Q150" i="8"/>
  <c r="R150" i="8"/>
  <c r="S150" i="8"/>
  <c r="T150" i="8"/>
  <c r="U150" i="8"/>
  <c r="V150" i="8"/>
  <c r="W150" i="8"/>
  <c r="N151" i="8"/>
  <c r="O151" i="8"/>
  <c r="P151" i="8"/>
  <c r="Q151" i="8"/>
  <c r="R151" i="8"/>
  <c r="S151" i="8"/>
  <c r="T151" i="8"/>
  <c r="U151" i="8"/>
  <c r="V151" i="8"/>
  <c r="W151" i="8"/>
  <c r="N152" i="8"/>
  <c r="O152" i="8"/>
  <c r="P152" i="8"/>
  <c r="Q152" i="8"/>
  <c r="R152" i="8"/>
  <c r="S152" i="8"/>
  <c r="T152" i="8"/>
  <c r="U152" i="8"/>
  <c r="V152" i="8"/>
  <c r="W152" i="8"/>
  <c r="N153" i="8"/>
  <c r="O153" i="8"/>
  <c r="P153" i="8"/>
  <c r="Q153" i="8"/>
  <c r="R153" i="8"/>
  <c r="S153" i="8"/>
  <c r="T153" i="8"/>
  <c r="U153" i="8"/>
  <c r="V153" i="8"/>
  <c r="W153" i="8"/>
  <c r="N154" i="8"/>
  <c r="O154" i="8"/>
  <c r="P154" i="8"/>
  <c r="Q154" i="8"/>
  <c r="R154" i="8"/>
  <c r="S154" i="8"/>
  <c r="T154" i="8"/>
  <c r="U154" i="8"/>
  <c r="V154" i="8"/>
  <c r="W154" i="8"/>
  <c r="N155" i="8"/>
  <c r="O155" i="8"/>
  <c r="P155" i="8"/>
  <c r="Q155" i="8"/>
  <c r="R155" i="8"/>
  <c r="S155" i="8"/>
  <c r="T155" i="8"/>
  <c r="U155" i="8"/>
  <c r="V155" i="8"/>
  <c r="W155" i="8"/>
  <c r="N156" i="8"/>
  <c r="O156" i="8"/>
  <c r="P156" i="8"/>
  <c r="Q156" i="8"/>
  <c r="R156" i="8"/>
  <c r="S156" i="8"/>
  <c r="T156" i="8"/>
  <c r="U156" i="8"/>
  <c r="V156" i="8"/>
  <c r="W156" i="8"/>
  <c r="N157" i="8"/>
  <c r="O157" i="8"/>
  <c r="P157" i="8"/>
  <c r="Q157" i="8"/>
  <c r="R157" i="8"/>
  <c r="S157" i="8"/>
  <c r="T157" i="8"/>
  <c r="U157" i="8"/>
  <c r="V157" i="8"/>
  <c r="W157" i="8"/>
  <c r="N158" i="8"/>
  <c r="O158" i="8"/>
  <c r="P158" i="8"/>
  <c r="Q158" i="8"/>
  <c r="R158" i="8"/>
  <c r="S158" i="8"/>
  <c r="T158" i="8"/>
  <c r="U158" i="8"/>
  <c r="V158" i="8"/>
  <c r="W158" i="8"/>
  <c r="N159" i="8"/>
  <c r="O159" i="8"/>
  <c r="P159" i="8"/>
  <c r="Q159" i="8"/>
  <c r="R159" i="8"/>
  <c r="S159" i="8"/>
  <c r="T159" i="8"/>
  <c r="U159" i="8"/>
  <c r="V159" i="8"/>
  <c r="W159" i="8"/>
  <c r="N160" i="8"/>
  <c r="O160" i="8"/>
  <c r="P160" i="8"/>
  <c r="Q160" i="8"/>
  <c r="R160" i="8"/>
  <c r="S160" i="8"/>
  <c r="T160" i="8"/>
  <c r="U160" i="8"/>
  <c r="V160" i="8"/>
  <c r="W160" i="8"/>
  <c r="N161" i="8"/>
  <c r="O161" i="8"/>
  <c r="P161" i="8"/>
  <c r="Q161" i="8"/>
  <c r="R161" i="8"/>
  <c r="S161" i="8"/>
  <c r="T161" i="8"/>
  <c r="U161" i="8"/>
  <c r="V161" i="8"/>
  <c r="W161" i="8"/>
  <c r="N162" i="8"/>
  <c r="O162" i="8"/>
  <c r="P162" i="8"/>
  <c r="Q162" i="8"/>
  <c r="R162" i="8"/>
  <c r="S162" i="8"/>
  <c r="T162" i="8"/>
  <c r="U162" i="8"/>
  <c r="V162" i="8"/>
  <c r="W162" i="8"/>
  <c r="N163" i="8"/>
  <c r="O163" i="8"/>
  <c r="P163" i="8"/>
  <c r="Q163" i="8"/>
  <c r="R163" i="8"/>
  <c r="S163" i="8"/>
  <c r="T163" i="8"/>
  <c r="U163" i="8"/>
  <c r="V163" i="8"/>
  <c r="W163" i="8"/>
  <c r="N164" i="8"/>
  <c r="O164" i="8"/>
  <c r="P164" i="8"/>
  <c r="Q164" i="8"/>
  <c r="R164" i="8"/>
  <c r="S164" i="8"/>
  <c r="T164" i="8"/>
  <c r="U164" i="8"/>
  <c r="V164" i="8"/>
  <c r="W164" i="8"/>
  <c r="N165" i="8"/>
  <c r="O165" i="8"/>
  <c r="P165" i="8"/>
  <c r="Q165" i="8"/>
  <c r="R165" i="8"/>
  <c r="S165" i="8"/>
  <c r="T165" i="8"/>
  <c r="U165" i="8"/>
  <c r="V165" i="8"/>
  <c r="W165" i="8"/>
  <c r="N166" i="8"/>
  <c r="O166" i="8"/>
  <c r="P166" i="8"/>
  <c r="Q166" i="8"/>
  <c r="R166" i="8"/>
  <c r="S166" i="8"/>
  <c r="T166" i="8"/>
  <c r="U166" i="8"/>
  <c r="V166" i="8"/>
  <c r="W166" i="8"/>
  <c r="N167" i="8"/>
  <c r="O167" i="8"/>
  <c r="P167" i="8"/>
  <c r="Q167" i="8"/>
  <c r="R167" i="8"/>
  <c r="S167" i="8"/>
  <c r="T167" i="8"/>
  <c r="U167" i="8"/>
  <c r="V167" i="8"/>
  <c r="W167" i="8"/>
  <c r="N168" i="8"/>
  <c r="O168" i="8"/>
  <c r="P168" i="8"/>
  <c r="Q168" i="8"/>
  <c r="R168" i="8"/>
  <c r="S168" i="8"/>
  <c r="T168" i="8"/>
  <c r="U168" i="8"/>
  <c r="V168" i="8"/>
  <c r="W168" i="8"/>
  <c r="N169" i="8"/>
  <c r="O169" i="8"/>
  <c r="P169" i="8"/>
  <c r="Q169" i="8"/>
  <c r="R169" i="8"/>
  <c r="S169" i="8"/>
  <c r="T169" i="8"/>
  <c r="U169" i="8"/>
  <c r="V169" i="8"/>
  <c r="W169" i="8"/>
  <c r="N170" i="8"/>
  <c r="O170" i="8"/>
  <c r="P170" i="8"/>
  <c r="Q170" i="8"/>
  <c r="R170" i="8"/>
  <c r="S170" i="8"/>
  <c r="T170" i="8"/>
  <c r="U170" i="8"/>
  <c r="V170" i="8"/>
  <c r="W170" i="8"/>
  <c r="N171" i="8"/>
  <c r="O171" i="8"/>
  <c r="P171" i="8"/>
  <c r="Q171" i="8"/>
  <c r="R171" i="8"/>
  <c r="S171" i="8"/>
  <c r="T171" i="8"/>
  <c r="U171" i="8"/>
  <c r="V171" i="8"/>
  <c r="W171" i="8"/>
  <c r="N172" i="8"/>
  <c r="O172" i="8"/>
  <c r="P172" i="8"/>
  <c r="Q172" i="8"/>
  <c r="R172" i="8"/>
  <c r="S172" i="8"/>
  <c r="T172" i="8"/>
  <c r="U172" i="8"/>
  <c r="V172" i="8"/>
  <c r="W172" i="8"/>
  <c r="N173" i="8"/>
  <c r="O173" i="8"/>
  <c r="P173" i="8"/>
  <c r="Q173" i="8"/>
  <c r="R173" i="8"/>
  <c r="S173" i="8"/>
  <c r="T173" i="8"/>
  <c r="U173" i="8"/>
  <c r="V173" i="8"/>
  <c r="W173" i="8"/>
  <c r="N174" i="8"/>
  <c r="O174" i="8"/>
  <c r="P174" i="8"/>
  <c r="Q174" i="8"/>
  <c r="R174" i="8"/>
  <c r="S174" i="8"/>
  <c r="T174" i="8"/>
  <c r="U174" i="8"/>
  <c r="V174" i="8"/>
  <c r="W174" i="8"/>
  <c r="N175" i="8"/>
  <c r="O175" i="8"/>
  <c r="P175" i="8"/>
  <c r="Q175" i="8"/>
  <c r="R175" i="8"/>
  <c r="S175" i="8"/>
  <c r="T175" i="8"/>
  <c r="U175" i="8"/>
  <c r="V175" i="8"/>
  <c r="W175" i="8"/>
  <c r="N176" i="8"/>
  <c r="O176" i="8"/>
  <c r="P176" i="8"/>
  <c r="Q176" i="8"/>
  <c r="R176" i="8"/>
  <c r="S176" i="8"/>
  <c r="T176" i="8"/>
  <c r="U176" i="8"/>
  <c r="V176" i="8"/>
  <c r="W176" i="8"/>
  <c r="N177" i="8"/>
  <c r="O177" i="8"/>
  <c r="P177" i="8"/>
  <c r="Q177" i="8"/>
  <c r="R177" i="8"/>
  <c r="S177" i="8"/>
  <c r="T177" i="8"/>
  <c r="U177" i="8"/>
  <c r="V177" i="8"/>
  <c r="W177" i="8"/>
  <c r="N178" i="8"/>
  <c r="O178" i="8"/>
  <c r="P178" i="8"/>
  <c r="Q178" i="8"/>
  <c r="R178" i="8"/>
  <c r="S178" i="8"/>
  <c r="T178" i="8"/>
  <c r="U178" i="8"/>
  <c r="V178" i="8"/>
  <c r="W178" i="8"/>
  <c r="N179" i="8"/>
  <c r="O179" i="8"/>
  <c r="P179" i="8"/>
  <c r="Q179" i="8"/>
  <c r="R179" i="8"/>
  <c r="S179" i="8"/>
  <c r="T179" i="8"/>
  <c r="U179" i="8"/>
  <c r="V179" i="8"/>
  <c r="W179" i="8"/>
  <c r="N180" i="8"/>
  <c r="O180" i="8"/>
  <c r="P180" i="8"/>
  <c r="Q180" i="8"/>
  <c r="R180" i="8"/>
  <c r="S180" i="8"/>
  <c r="T180" i="8"/>
  <c r="U180" i="8"/>
  <c r="V180" i="8"/>
  <c r="W180" i="8"/>
  <c r="N181" i="8"/>
  <c r="O181" i="8"/>
  <c r="P181" i="8"/>
  <c r="Q181" i="8"/>
  <c r="R181" i="8"/>
  <c r="S181" i="8"/>
  <c r="T181" i="8"/>
  <c r="U181" i="8"/>
  <c r="V181" i="8"/>
  <c r="W181" i="8"/>
  <c r="N182" i="8"/>
  <c r="O182" i="8"/>
  <c r="P182" i="8"/>
  <c r="Q182" i="8"/>
  <c r="R182" i="8"/>
  <c r="S182" i="8"/>
  <c r="T182" i="8"/>
  <c r="U182" i="8"/>
  <c r="V182" i="8"/>
  <c r="W182" i="8"/>
  <c r="N183" i="8"/>
  <c r="O183" i="8"/>
  <c r="P183" i="8"/>
  <c r="Q183" i="8"/>
  <c r="R183" i="8"/>
  <c r="S183" i="8"/>
  <c r="T183" i="8"/>
  <c r="U183" i="8"/>
  <c r="V183" i="8"/>
  <c r="W183" i="8"/>
  <c r="N184" i="8"/>
  <c r="O184" i="8"/>
  <c r="P184" i="8"/>
  <c r="Q184" i="8"/>
  <c r="R184" i="8"/>
  <c r="S184" i="8"/>
  <c r="T184" i="8"/>
  <c r="U184" i="8"/>
  <c r="V184" i="8"/>
  <c r="W184" i="8"/>
  <c r="N185" i="8"/>
  <c r="O185" i="8"/>
  <c r="P185" i="8"/>
  <c r="Q185" i="8"/>
  <c r="R185" i="8"/>
  <c r="S185" i="8"/>
  <c r="T185" i="8"/>
  <c r="U185" i="8"/>
  <c r="V185" i="8"/>
  <c r="W185" i="8"/>
  <c r="N186" i="8"/>
  <c r="O186" i="8"/>
  <c r="P186" i="8"/>
  <c r="Q186" i="8"/>
  <c r="R186" i="8"/>
  <c r="S186" i="8"/>
  <c r="T186" i="8"/>
  <c r="U186" i="8"/>
  <c r="V186" i="8"/>
  <c r="W186" i="8"/>
  <c r="N187" i="8"/>
  <c r="O187" i="8"/>
  <c r="P187" i="8"/>
  <c r="Q187" i="8"/>
  <c r="R187" i="8"/>
  <c r="S187" i="8"/>
  <c r="T187" i="8"/>
  <c r="U187" i="8"/>
  <c r="V187" i="8"/>
  <c r="W187" i="8"/>
  <c r="N188" i="8"/>
  <c r="O188" i="8"/>
  <c r="P188" i="8"/>
  <c r="Q188" i="8"/>
  <c r="R188" i="8"/>
  <c r="S188" i="8"/>
  <c r="T188" i="8"/>
  <c r="U188" i="8"/>
  <c r="V188" i="8"/>
  <c r="W188" i="8"/>
  <c r="N189" i="8"/>
  <c r="O189" i="8"/>
  <c r="P189" i="8"/>
  <c r="Q189" i="8"/>
  <c r="R189" i="8"/>
  <c r="S189" i="8"/>
  <c r="T189" i="8"/>
  <c r="U189" i="8"/>
  <c r="V189" i="8"/>
  <c r="W189" i="8"/>
  <c r="N190" i="8"/>
  <c r="O190" i="8"/>
  <c r="P190" i="8"/>
  <c r="Q190" i="8"/>
  <c r="R190" i="8"/>
  <c r="S190" i="8"/>
  <c r="T190" i="8"/>
  <c r="U190" i="8"/>
  <c r="V190" i="8"/>
  <c r="W190" i="8"/>
  <c r="N191" i="8"/>
  <c r="O191" i="8"/>
  <c r="P191" i="8"/>
  <c r="Q191" i="8"/>
  <c r="R191" i="8"/>
  <c r="S191" i="8"/>
  <c r="T191" i="8"/>
  <c r="U191" i="8"/>
  <c r="V191" i="8"/>
  <c r="W191" i="8"/>
  <c r="N192" i="8"/>
  <c r="O192" i="8"/>
  <c r="P192" i="8"/>
  <c r="Q192" i="8"/>
  <c r="R192" i="8"/>
  <c r="S192" i="8"/>
  <c r="T192" i="8"/>
  <c r="U192" i="8"/>
  <c r="V192" i="8"/>
  <c r="W192" i="8"/>
  <c r="N193" i="8"/>
  <c r="O193" i="8"/>
  <c r="P193" i="8"/>
  <c r="Q193" i="8"/>
  <c r="R193" i="8"/>
  <c r="S193" i="8"/>
  <c r="T193" i="8"/>
  <c r="U193" i="8"/>
  <c r="V193" i="8"/>
  <c r="W193" i="8"/>
  <c r="N194" i="8"/>
  <c r="O194" i="8"/>
  <c r="P194" i="8"/>
  <c r="Q194" i="8"/>
  <c r="R194" i="8"/>
  <c r="S194" i="8"/>
  <c r="T194" i="8"/>
  <c r="U194" i="8"/>
  <c r="V194" i="8"/>
  <c r="W194" i="8"/>
  <c r="N195" i="8"/>
  <c r="O195" i="8"/>
  <c r="P195" i="8"/>
  <c r="Q195" i="8"/>
  <c r="R195" i="8"/>
  <c r="S195" i="8"/>
  <c r="T195" i="8"/>
  <c r="U195" i="8"/>
  <c r="V195" i="8"/>
  <c r="W195" i="8"/>
  <c r="N196" i="8"/>
  <c r="O196" i="8"/>
  <c r="P196" i="8"/>
  <c r="Q196" i="8"/>
  <c r="R196" i="8"/>
  <c r="S196" i="8"/>
  <c r="T196" i="8"/>
  <c r="U196" i="8"/>
  <c r="V196" i="8"/>
  <c r="W196" i="8"/>
  <c r="N197" i="8"/>
  <c r="O197" i="8"/>
  <c r="P197" i="8"/>
  <c r="Q197" i="8"/>
  <c r="R197" i="8"/>
  <c r="S197" i="8"/>
  <c r="T197" i="8"/>
  <c r="U197" i="8"/>
  <c r="V197" i="8"/>
  <c r="W197" i="8"/>
  <c r="N198" i="8"/>
  <c r="O198" i="8"/>
  <c r="P198" i="8"/>
  <c r="Q198" i="8"/>
  <c r="R198" i="8"/>
  <c r="S198" i="8"/>
  <c r="T198" i="8"/>
  <c r="U198" i="8"/>
  <c r="V198" i="8"/>
  <c r="W198" i="8"/>
  <c r="N199" i="8"/>
  <c r="O199" i="8"/>
  <c r="P199" i="8"/>
  <c r="Q199" i="8"/>
  <c r="R199" i="8"/>
  <c r="S199" i="8"/>
  <c r="T199" i="8"/>
  <c r="U199" i="8"/>
  <c r="V199" i="8"/>
  <c r="W199" i="8"/>
  <c r="N200" i="8"/>
  <c r="O200" i="8"/>
  <c r="P200" i="8"/>
  <c r="Q200" i="8"/>
  <c r="R200" i="8"/>
  <c r="S200" i="8"/>
  <c r="T200" i="8"/>
  <c r="U200" i="8"/>
  <c r="V200" i="8"/>
  <c r="W200" i="8"/>
  <c r="N201" i="8"/>
  <c r="O201" i="8"/>
  <c r="P201" i="8"/>
  <c r="Q201" i="8"/>
  <c r="R201" i="8"/>
  <c r="S201" i="8"/>
  <c r="T201" i="8"/>
  <c r="U201" i="8"/>
  <c r="V201" i="8"/>
  <c r="W201" i="8"/>
  <c r="N202" i="8"/>
  <c r="O202" i="8"/>
  <c r="P202" i="8"/>
  <c r="Q202" i="8"/>
  <c r="R202" i="8"/>
  <c r="S202" i="8"/>
  <c r="T202" i="8"/>
  <c r="U202" i="8"/>
  <c r="V202" i="8"/>
  <c r="W202" i="8"/>
  <c r="N203" i="8"/>
  <c r="O203" i="8"/>
  <c r="P203" i="8"/>
  <c r="Q203" i="8"/>
  <c r="R203" i="8"/>
  <c r="S203" i="8"/>
  <c r="T203" i="8"/>
  <c r="U203" i="8"/>
  <c r="V203" i="8"/>
  <c r="W203" i="8"/>
  <c r="N204" i="8"/>
  <c r="O204" i="8"/>
  <c r="P204" i="8"/>
  <c r="Q204" i="8"/>
  <c r="R204" i="8"/>
  <c r="S204" i="8"/>
  <c r="T204" i="8"/>
  <c r="U204" i="8"/>
  <c r="V204" i="8"/>
  <c r="W204" i="8"/>
  <c r="N205" i="8"/>
  <c r="O205" i="8"/>
  <c r="P205" i="8"/>
  <c r="Q205" i="8"/>
  <c r="R205" i="8"/>
  <c r="S205" i="8"/>
  <c r="T205" i="8"/>
  <c r="U205" i="8"/>
  <c r="V205" i="8"/>
  <c r="W205" i="8"/>
  <c r="N206" i="8"/>
  <c r="O206" i="8"/>
  <c r="P206" i="8"/>
  <c r="Q206" i="8"/>
  <c r="R206" i="8"/>
  <c r="S206" i="8"/>
  <c r="T206" i="8"/>
  <c r="U206" i="8"/>
  <c r="V206" i="8"/>
  <c r="W206" i="8"/>
  <c r="N207" i="8"/>
  <c r="O207" i="8"/>
  <c r="P207" i="8"/>
  <c r="Q207" i="8"/>
  <c r="R207" i="8"/>
  <c r="S207" i="8"/>
  <c r="T207" i="8"/>
  <c r="U207" i="8"/>
  <c r="V207" i="8"/>
  <c r="W207" i="8"/>
  <c r="N208" i="8"/>
  <c r="O208" i="8"/>
  <c r="P208" i="8"/>
  <c r="Q208" i="8"/>
  <c r="R208" i="8"/>
  <c r="S208" i="8"/>
  <c r="T208" i="8"/>
  <c r="U208" i="8"/>
  <c r="V208" i="8"/>
  <c r="W208" i="8"/>
  <c r="N209" i="8"/>
  <c r="O209" i="8"/>
  <c r="P209" i="8"/>
  <c r="Q209" i="8"/>
  <c r="R209" i="8"/>
  <c r="S209" i="8"/>
  <c r="T209" i="8"/>
  <c r="U209" i="8"/>
  <c r="V209" i="8"/>
  <c r="W209" i="8"/>
  <c r="N210" i="8"/>
  <c r="O210" i="8"/>
  <c r="P210" i="8"/>
  <c r="Q210" i="8"/>
  <c r="R210" i="8"/>
  <c r="S210" i="8"/>
  <c r="T210" i="8"/>
  <c r="U210" i="8"/>
  <c r="V210" i="8"/>
  <c r="W210" i="8"/>
  <c r="N211" i="8"/>
  <c r="O211" i="8"/>
  <c r="P211" i="8"/>
  <c r="Q211" i="8"/>
  <c r="R211" i="8"/>
  <c r="S211" i="8"/>
  <c r="T211" i="8"/>
  <c r="U211" i="8"/>
  <c r="V211" i="8"/>
  <c r="W211" i="8"/>
  <c r="N212" i="8"/>
  <c r="O212" i="8"/>
  <c r="P212" i="8"/>
  <c r="Q212" i="8"/>
  <c r="R212" i="8"/>
  <c r="S212" i="8"/>
  <c r="T212" i="8"/>
  <c r="U212" i="8"/>
  <c r="V212" i="8"/>
  <c r="W212" i="8"/>
  <c r="N213" i="8"/>
  <c r="O213" i="8"/>
  <c r="P213" i="8"/>
  <c r="Q213" i="8"/>
  <c r="R213" i="8"/>
  <c r="S213" i="8"/>
  <c r="T213" i="8"/>
  <c r="U213" i="8"/>
  <c r="V213" i="8"/>
  <c r="W213" i="8"/>
  <c r="N214" i="8"/>
  <c r="O214" i="8"/>
  <c r="P214" i="8"/>
  <c r="Q214" i="8"/>
  <c r="R214" i="8"/>
  <c r="S214" i="8"/>
  <c r="T214" i="8"/>
  <c r="U214" i="8"/>
  <c r="V214" i="8"/>
  <c r="W214" i="8"/>
  <c r="N215" i="8"/>
  <c r="O215" i="8"/>
  <c r="P215" i="8"/>
  <c r="Q215" i="8"/>
  <c r="R215" i="8"/>
  <c r="S215" i="8"/>
  <c r="T215" i="8"/>
  <c r="U215" i="8"/>
  <c r="V215" i="8"/>
  <c r="W215" i="8"/>
  <c r="N216" i="8"/>
  <c r="O216" i="8"/>
  <c r="P216" i="8"/>
  <c r="Q216" i="8"/>
  <c r="R216" i="8"/>
  <c r="S216" i="8"/>
  <c r="T216" i="8"/>
  <c r="U216" i="8"/>
  <c r="V216" i="8"/>
  <c r="W216" i="8"/>
  <c r="N217" i="8"/>
  <c r="O217" i="8"/>
  <c r="P217" i="8"/>
  <c r="Q217" i="8"/>
  <c r="R217" i="8"/>
  <c r="S217" i="8"/>
  <c r="T217" i="8"/>
  <c r="U217" i="8"/>
  <c r="V217" i="8"/>
  <c r="W217" i="8"/>
  <c r="N218" i="8"/>
  <c r="O218" i="8"/>
  <c r="P218" i="8"/>
  <c r="Q218" i="8"/>
  <c r="R218" i="8"/>
  <c r="S218" i="8"/>
  <c r="T218" i="8"/>
  <c r="U218" i="8"/>
  <c r="V218" i="8"/>
  <c r="W218" i="8"/>
  <c r="N219" i="8"/>
  <c r="O219" i="8"/>
  <c r="P219" i="8"/>
  <c r="Q219" i="8"/>
  <c r="R219" i="8"/>
  <c r="S219" i="8"/>
  <c r="T219" i="8"/>
  <c r="U219" i="8"/>
  <c r="V219" i="8"/>
  <c r="W219" i="8"/>
  <c r="N220" i="8"/>
  <c r="O220" i="8"/>
  <c r="P220" i="8"/>
  <c r="Q220" i="8"/>
  <c r="R220" i="8"/>
  <c r="S220" i="8"/>
  <c r="T220" i="8"/>
  <c r="U220" i="8"/>
  <c r="V220" i="8"/>
  <c r="W220" i="8"/>
  <c r="N221" i="8"/>
  <c r="O221" i="8"/>
  <c r="P221" i="8"/>
  <c r="Q221" i="8"/>
  <c r="R221" i="8"/>
  <c r="S221" i="8"/>
  <c r="T221" i="8"/>
  <c r="U221" i="8"/>
  <c r="V221" i="8"/>
  <c r="W221" i="8"/>
  <c r="N222" i="8"/>
  <c r="O222" i="8"/>
  <c r="P222" i="8"/>
  <c r="Q222" i="8"/>
  <c r="R222" i="8"/>
  <c r="S222" i="8"/>
  <c r="T222" i="8"/>
  <c r="U222" i="8"/>
  <c r="V222" i="8"/>
  <c r="W222" i="8"/>
  <c r="N223" i="8"/>
  <c r="O223" i="8"/>
  <c r="P223" i="8"/>
  <c r="Q223" i="8"/>
  <c r="R223" i="8"/>
  <c r="S223" i="8"/>
  <c r="T223" i="8"/>
  <c r="U223" i="8"/>
  <c r="V223" i="8"/>
  <c r="W223" i="8"/>
  <c r="N224" i="8"/>
  <c r="O224" i="8"/>
  <c r="P224" i="8"/>
  <c r="Q224" i="8"/>
  <c r="R224" i="8"/>
  <c r="S224" i="8"/>
  <c r="T224" i="8"/>
  <c r="U224" i="8"/>
  <c r="V224" i="8"/>
  <c r="W224" i="8"/>
  <c r="N225" i="8"/>
  <c r="O225" i="8"/>
  <c r="P225" i="8"/>
  <c r="Q225" i="8"/>
  <c r="R225" i="8"/>
  <c r="S225" i="8"/>
  <c r="T225" i="8"/>
  <c r="U225" i="8"/>
  <c r="V225" i="8"/>
  <c r="W225" i="8"/>
  <c r="N226" i="8"/>
  <c r="O226" i="8"/>
  <c r="P226" i="8"/>
  <c r="Q226" i="8"/>
  <c r="R226" i="8"/>
  <c r="S226" i="8"/>
  <c r="T226" i="8"/>
  <c r="U226" i="8"/>
  <c r="V226" i="8"/>
  <c r="W226" i="8"/>
  <c r="N227" i="8"/>
  <c r="O227" i="8"/>
  <c r="P227" i="8"/>
  <c r="Q227" i="8"/>
  <c r="R227" i="8"/>
  <c r="S227" i="8"/>
  <c r="T227" i="8"/>
  <c r="U227" i="8"/>
  <c r="V227" i="8"/>
  <c r="W227" i="8"/>
  <c r="N228" i="8"/>
  <c r="O228" i="8"/>
  <c r="P228" i="8"/>
  <c r="Q228" i="8"/>
  <c r="R228" i="8"/>
  <c r="S228" i="8"/>
  <c r="T228" i="8"/>
  <c r="U228" i="8"/>
  <c r="V228" i="8"/>
  <c r="W228" i="8"/>
  <c r="N229" i="8"/>
  <c r="O229" i="8"/>
  <c r="P229" i="8"/>
  <c r="Q229" i="8"/>
  <c r="R229" i="8"/>
  <c r="S229" i="8"/>
  <c r="T229" i="8"/>
  <c r="U229" i="8"/>
  <c r="V229" i="8"/>
  <c r="W229" i="8"/>
  <c r="N230" i="8"/>
  <c r="O230" i="8"/>
  <c r="P230" i="8"/>
  <c r="Q230" i="8"/>
  <c r="R230" i="8"/>
  <c r="S230" i="8"/>
  <c r="T230" i="8"/>
  <c r="U230" i="8"/>
  <c r="V230" i="8"/>
  <c r="W230" i="8"/>
  <c r="N231" i="8"/>
  <c r="O231" i="8"/>
  <c r="P231" i="8"/>
  <c r="Q231" i="8"/>
  <c r="R231" i="8"/>
  <c r="S231" i="8"/>
  <c r="T231" i="8"/>
  <c r="U231" i="8"/>
  <c r="V231" i="8"/>
  <c r="W231" i="8"/>
  <c r="N232" i="8"/>
  <c r="O232" i="8"/>
  <c r="P232" i="8"/>
  <c r="Q232" i="8"/>
  <c r="R232" i="8"/>
  <c r="S232" i="8"/>
  <c r="T232" i="8"/>
  <c r="U232" i="8"/>
  <c r="V232" i="8"/>
  <c r="W232" i="8"/>
  <c r="N233" i="8"/>
  <c r="O233" i="8"/>
  <c r="P233" i="8"/>
  <c r="Q233" i="8"/>
  <c r="R233" i="8"/>
  <c r="S233" i="8"/>
  <c r="T233" i="8"/>
  <c r="U233" i="8"/>
  <c r="V233" i="8"/>
  <c r="W233" i="8"/>
  <c r="N234" i="8"/>
  <c r="O234" i="8"/>
  <c r="P234" i="8"/>
  <c r="Q234" i="8"/>
  <c r="R234" i="8"/>
  <c r="S234" i="8"/>
  <c r="T234" i="8"/>
  <c r="U234" i="8"/>
  <c r="V234" i="8"/>
  <c r="W234" i="8"/>
  <c r="N235" i="8"/>
  <c r="O235" i="8"/>
  <c r="P235" i="8"/>
  <c r="Q235" i="8"/>
  <c r="R235" i="8"/>
  <c r="S235" i="8"/>
  <c r="T235" i="8"/>
  <c r="U235" i="8"/>
  <c r="V235" i="8"/>
  <c r="W235" i="8"/>
  <c r="N236" i="8"/>
  <c r="O236" i="8"/>
  <c r="P236" i="8"/>
  <c r="Q236" i="8"/>
  <c r="R236" i="8"/>
  <c r="S236" i="8"/>
  <c r="T236" i="8"/>
  <c r="U236" i="8"/>
  <c r="V236" i="8"/>
  <c r="W236" i="8"/>
  <c r="N237" i="8"/>
  <c r="O237" i="8"/>
  <c r="P237" i="8"/>
  <c r="Q237" i="8"/>
  <c r="R237" i="8"/>
  <c r="S237" i="8"/>
  <c r="T237" i="8"/>
  <c r="U237" i="8"/>
  <c r="V237" i="8"/>
  <c r="W237" i="8"/>
  <c r="N238" i="8"/>
  <c r="O238" i="8"/>
  <c r="P238" i="8"/>
  <c r="Q238" i="8"/>
  <c r="R238" i="8"/>
  <c r="S238" i="8"/>
  <c r="T238" i="8"/>
  <c r="U238" i="8"/>
  <c r="V238" i="8"/>
  <c r="W238" i="8"/>
  <c r="N239" i="8"/>
  <c r="O239" i="8"/>
  <c r="P239" i="8"/>
  <c r="Q239" i="8"/>
  <c r="R239" i="8"/>
  <c r="S239" i="8"/>
  <c r="T239" i="8"/>
  <c r="U239" i="8"/>
  <c r="V239" i="8"/>
  <c r="W239" i="8"/>
  <c r="N240" i="8"/>
  <c r="O240" i="8"/>
  <c r="P240" i="8"/>
  <c r="Q240" i="8"/>
  <c r="R240" i="8"/>
  <c r="S240" i="8"/>
  <c r="T240" i="8"/>
  <c r="U240" i="8"/>
  <c r="V240" i="8"/>
  <c r="W240" i="8"/>
  <c r="N241" i="8"/>
  <c r="O241" i="8"/>
  <c r="P241" i="8"/>
  <c r="Q241" i="8"/>
  <c r="R241" i="8"/>
  <c r="S241" i="8"/>
  <c r="T241" i="8"/>
  <c r="U241" i="8"/>
  <c r="V241" i="8"/>
  <c r="W241" i="8"/>
  <c r="N242" i="8"/>
  <c r="O242" i="8"/>
  <c r="P242" i="8"/>
  <c r="Q242" i="8"/>
  <c r="R242" i="8"/>
  <c r="S242" i="8"/>
  <c r="T242" i="8"/>
  <c r="U242" i="8"/>
  <c r="V242" i="8"/>
  <c r="W242" i="8"/>
  <c r="N243" i="8"/>
  <c r="O243" i="8"/>
  <c r="P243" i="8"/>
  <c r="Q243" i="8"/>
  <c r="R243" i="8"/>
  <c r="S243" i="8"/>
  <c r="T243" i="8"/>
  <c r="U243" i="8"/>
  <c r="V243" i="8"/>
  <c r="W243" i="8"/>
  <c r="N244" i="8"/>
  <c r="O244" i="8"/>
  <c r="P244" i="8"/>
  <c r="Q244" i="8"/>
  <c r="R244" i="8"/>
  <c r="S244" i="8"/>
  <c r="T244" i="8"/>
  <c r="U244" i="8"/>
  <c r="V244" i="8"/>
  <c r="W244" i="8"/>
  <c r="N245" i="8"/>
  <c r="O245" i="8"/>
  <c r="P245" i="8"/>
  <c r="Q245" i="8"/>
  <c r="R245" i="8"/>
  <c r="S245" i="8"/>
  <c r="T245" i="8"/>
  <c r="U245" i="8"/>
  <c r="V245" i="8"/>
  <c r="W245" i="8"/>
  <c r="N246" i="8"/>
  <c r="O246" i="8"/>
  <c r="P246" i="8"/>
  <c r="Q246" i="8"/>
  <c r="R246" i="8"/>
  <c r="S246" i="8"/>
  <c r="T246" i="8"/>
  <c r="U246" i="8"/>
  <c r="V246" i="8"/>
  <c r="W246" i="8"/>
  <c r="N247" i="8"/>
  <c r="O247" i="8"/>
  <c r="P247" i="8"/>
  <c r="Q247" i="8"/>
  <c r="R247" i="8"/>
  <c r="S247" i="8"/>
  <c r="T247" i="8"/>
  <c r="U247" i="8"/>
  <c r="V247" i="8"/>
  <c r="W247" i="8"/>
  <c r="O3" i="8"/>
  <c r="P3" i="8"/>
  <c r="Q3" i="8"/>
  <c r="R3" i="8"/>
  <c r="S3" i="8"/>
  <c r="T3" i="8"/>
  <c r="U3" i="8"/>
  <c r="AD10" i="8" s="1"/>
  <c r="V3" i="8"/>
  <c r="W3" i="8"/>
  <c r="N3" i="8"/>
  <c r="AI4" i="9" l="1"/>
  <c r="AK4" i="9"/>
  <c r="AJ4" i="9"/>
  <c r="AG6" i="8"/>
  <c r="AF3" i="8"/>
  <c r="AC3" i="8"/>
  <c r="AB9" i="8"/>
  <c r="AA5" i="8"/>
  <c r="AI11" i="8"/>
  <c r="AE5" i="8"/>
  <c r="AD12" i="8"/>
  <c r="AD8" i="8"/>
  <c r="AC4" i="8"/>
  <c r="AA7" i="8"/>
  <c r="AG8" i="8"/>
  <c r="AB11" i="8"/>
  <c r="AB7" i="8"/>
  <c r="AB3" i="8"/>
  <c r="AE11" i="8"/>
  <c r="AE9" i="8"/>
  <c r="AC8" i="8"/>
  <c r="AI5" i="8"/>
  <c r="AI3" i="8"/>
  <c r="AE3" i="8"/>
  <c r="AJ12" i="8"/>
  <c r="AF12" i="8"/>
  <c r="AB12" i="8"/>
  <c r="AH11" i="8"/>
  <c r="AD11" i="8"/>
  <c r="AJ10" i="8"/>
  <c r="AF10" i="8"/>
  <c r="AB10" i="8"/>
  <c r="AH9" i="8"/>
  <c r="AD9" i="8"/>
  <c r="AJ8" i="8"/>
  <c r="AF8" i="8"/>
  <c r="AB8" i="8"/>
  <c r="AH7" i="8"/>
  <c r="AD7" i="8"/>
  <c r="AJ6" i="8"/>
  <c r="AF6" i="8"/>
  <c r="AB6" i="8"/>
  <c r="AH5" i="8"/>
  <c r="AD5" i="8"/>
  <c r="AJ4" i="8"/>
  <c r="AF4" i="8"/>
  <c r="AB4" i="8"/>
  <c r="AJ3" i="8"/>
  <c r="AC12" i="8"/>
  <c r="AG10" i="8"/>
  <c r="AA9" i="8"/>
  <c r="AE7" i="8"/>
  <c r="AC6" i="8"/>
  <c r="AH3" i="8"/>
  <c r="AD3" i="8"/>
  <c r="AI12" i="8"/>
  <c r="AE12" i="8"/>
  <c r="AA12" i="8"/>
  <c r="AG11" i="8"/>
  <c r="AC11" i="8"/>
  <c r="AI10" i="8"/>
  <c r="AE10" i="8"/>
  <c r="AA10" i="8"/>
  <c r="AG9" i="8"/>
  <c r="AC9" i="8"/>
  <c r="AI8" i="8"/>
  <c r="AE8" i="8"/>
  <c r="AA8" i="8"/>
  <c r="AG7" i="8"/>
  <c r="AC7" i="8"/>
  <c r="AI6" i="8"/>
  <c r="AE6" i="8"/>
  <c r="AA6" i="8"/>
  <c r="AG5" i="8"/>
  <c r="AC5" i="8"/>
  <c r="AI4" i="8"/>
  <c r="AE4" i="8"/>
  <c r="AA4" i="8"/>
  <c r="AG12" i="8"/>
  <c r="AA11" i="8"/>
  <c r="AC10" i="8"/>
  <c r="AI7" i="8"/>
  <c r="AA3" i="8"/>
  <c r="AG3" i="8"/>
  <c r="AH12" i="8"/>
  <c r="AJ11" i="8"/>
  <c r="AF11" i="8"/>
  <c r="AH10" i="8"/>
  <c r="AJ9" i="8"/>
  <c r="AF9" i="8"/>
  <c r="AH8" i="8"/>
  <c r="AJ7" i="8"/>
  <c r="AF7" i="8"/>
  <c r="AH6" i="8"/>
  <c r="AD6" i="8"/>
  <c r="AJ5" i="8"/>
  <c r="AF5" i="8"/>
  <c r="AB5" i="8"/>
  <c r="AH4" i="8"/>
  <c r="AD4" i="8"/>
  <c r="AI9" i="8"/>
  <c r="AG4" i="8"/>
  <c r="AX36" i="8"/>
  <c r="AX37" i="8"/>
  <c r="AX38" i="8"/>
  <c r="AX35" i="8"/>
  <c r="AN5" i="8"/>
  <c r="AO5" i="8"/>
  <c r="AP5" i="8"/>
  <c r="AQ5" i="8"/>
  <c r="AR5" i="8"/>
  <c r="AS5" i="8"/>
  <c r="AT5" i="8"/>
  <c r="AU5" i="8"/>
  <c r="AV5" i="8"/>
  <c r="AM5" i="8"/>
  <c r="AB69" i="8"/>
  <c r="AC69" i="8"/>
  <c r="AD69" i="8"/>
  <c r="AE69" i="8"/>
  <c r="AF69" i="8"/>
  <c r="AG69" i="8"/>
  <c r="AH69" i="8"/>
  <c r="AI69" i="8"/>
  <c r="AJ69" i="8"/>
  <c r="AA29" i="8" a="1"/>
  <c r="AA16" i="8" a="1"/>
  <c r="AD29" i="8" l="1"/>
  <c r="AJ30" i="8"/>
  <c r="AF32" i="8"/>
  <c r="AB34" i="8"/>
  <c r="AH35" i="8"/>
  <c r="AD37" i="8"/>
  <c r="AJ38" i="8"/>
  <c r="AC30" i="8"/>
  <c r="AI31" i="8"/>
  <c r="AE33" i="8"/>
  <c r="AA35" i="8"/>
  <c r="AG36" i="8"/>
  <c r="AC38" i="8"/>
  <c r="AF29" i="8"/>
  <c r="AB31" i="8"/>
  <c r="AH32" i="8"/>
  <c r="AD34" i="8"/>
  <c r="AJ35" i="8"/>
  <c r="AF37" i="8"/>
  <c r="AC29" i="8"/>
  <c r="AC31" i="8"/>
  <c r="AI32" i="8"/>
  <c r="AE34" i="8"/>
  <c r="AA36" i="8"/>
  <c r="AG37" i="8"/>
  <c r="AB32" i="8"/>
  <c r="AJ36" i="8"/>
  <c r="AE31" i="8"/>
  <c r="AC36" i="8"/>
  <c r="AH30" i="8"/>
  <c r="AH38" i="8"/>
  <c r="AA34" i="8"/>
  <c r="AH29" i="8"/>
  <c r="AD31" i="8"/>
  <c r="AJ32" i="8"/>
  <c r="AF34" i="8"/>
  <c r="AB36" i="8"/>
  <c r="AH37" i="8"/>
  <c r="AA29" i="8"/>
  <c r="AG30" i="8"/>
  <c r="AC32" i="8"/>
  <c r="AI33" i="8"/>
  <c r="AE35" i="8"/>
  <c r="AA37" i="8"/>
  <c r="AG38" i="8"/>
  <c r="AJ29" i="8"/>
  <c r="AF31" i="8"/>
  <c r="AB33" i="8"/>
  <c r="AH34" i="8"/>
  <c r="AD36" i="8"/>
  <c r="AJ37" i="8"/>
  <c r="AA30" i="8"/>
  <c r="AG31" i="8"/>
  <c r="AC33" i="8"/>
  <c r="AI34" i="8"/>
  <c r="AE36" i="8"/>
  <c r="AA38" i="8"/>
  <c r="AF30" i="8"/>
  <c r="AD35" i="8"/>
  <c r="AI29" i="8"/>
  <c r="AG34" i="8"/>
  <c r="AB29" i="8"/>
  <c r="AJ33" i="8"/>
  <c r="AB37" i="8"/>
  <c r="AE32" i="8"/>
  <c r="AC37" i="8"/>
  <c r="AB30" i="8"/>
  <c r="AH31" i="8"/>
  <c r="AD33" i="8"/>
  <c r="AJ34" i="8"/>
  <c r="AF36" i="8"/>
  <c r="AB38" i="8"/>
  <c r="AE29" i="8"/>
  <c r="AA31" i="8"/>
  <c r="AG32" i="8"/>
  <c r="AC34" i="8"/>
  <c r="AI35" i="8"/>
  <c r="AE37" i="8"/>
  <c r="AG29" i="8"/>
  <c r="AD30" i="8"/>
  <c r="AJ31" i="8"/>
  <c r="AF33" i="8"/>
  <c r="AB35" i="8"/>
  <c r="AH36" i="8"/>
  <c r="AD38" i="8"/>
  <c r="AE30" i="8"/>
  <c r="AA32" i="8"/>
  <c r="AG33" i="8"/>
  <c r="AC35" i="8"/>
  <c r="AI36" i="8"/>
  <c r="AE38" i="8"/>
  <c r="AH33" i="8"/>
  <c r="AF38" i="8"/>
  <c r="AA33" i="8"/>
  <c r="AI37" i="8"/>
  <c r="AD32" i="8"/>
  <c r="AF35" i="8"/>
  <c r="AI30" i="8"/>
  <c r="AG35" i="8"/>
  <c r="AI38" i="8"/>
  <c r="AH16" i="8"/>
  <c r="AD18" i="8"/>
  <c r="AJ19" i="8"/>
  <c r="AF21" i="8"/>
  <c r="AB23" i="8"/>
  <c r="AH24" i="8"/>
  <c r="AA16" i="8"/>
  <c r="AG17" i="8"/>
  <c r="AC19" i="8"/>
  <c r="AI20" i="8"/>
  <c r="AE22" i="8"/>
  <c r="AA24" i="8"/>
  <c r="AG25" i="8"/>
  <c r="AD17" i="8"/>
  <c r="AJ18" i="8"/>
  <c r="AF20" i="8"/>
  <c r="AB22" i="8"/>
  <c r="AH23" i="8"/>
  <c r="AD25" i="8"/>
  <c r="AA17" i="8"/>
  <c r="AG18" i="8"/>
  <c r="AC20" i="8"/>
  <c r="AI21" i="8"/>
  <c r="AE23" i="8"/>
  <c r="AA25" i="8"/>
  <c r="AJ17" i="8"/>
  <c r="AH22" i="8"/>
  <c r="AC17" i="8"/>
  <c r="AA22" i="8"/>
  <c r="AJ16" i="8"/>
  <c r="AH21" i="8"/>
  <c r="AG16" i="8"/>
  <c r="AE21" i="8"/>
  <c r="AD16" i="8"/>
  <c r="AB17" i="8"/>
  <c r="AH18" i="8"/>
  <c r="AD20" i="8"/>
  <c r="AJ21" i="8"/>
  <c r="AF23" i="8"/>
  <c r="AB25" i="8"/>
  <c r="AE16" i="8"/>
  <c r="AA18" i="8"/>
  <c r="AG19" i="8"/>
  <c r="AC21" i="8"/>
  <c r="AI22" i="8"/>
  <c r="AE24" i="8"/>
  <c r="AB16" i="8"/>
  <c r="AH17" i="8"/>
  <c r="AD19" i="8"/>
  <c r="AJ20" i="8"/>
  <c r="AF22" i="8"/>
  <c r="AB24" i="8"/>
  <c r="AH25" i="8"/>
  <c r="AE17" i="8"/>
  <c r="AA19" i="8"/>
  <c r="AG20" i="8"/>
  <c r="AC22" i="8"/>
  <c r="AI23" i="8"/>
  <c r="AE25" i="8"/>
  <c r="AF19" i="8"/>
  <c r="AD24" i="8"/>
  <c r="AI18" i="8"/>
  <c r="AG23" i="8"/>
  <c r="AF18" i="8"/>
  <c r="AJ24" i="8"/>
  <c r="AI19" i="8"/>
  <c r="AG24" i="8"/>
  <c r="AF17" i="8"/>
  <c r="AB19" i="8"/>
  <c r="AH20" i="8"/>
  <c r="AD22" i="8"/>
  <c r="AJ23" i="8"/>
  <c r="AF25" i="8"/>
  <c r="AI16" i="8"/>
  <c r="AE18" i="8"/>
  <c r="AA20" i="8"/>
  <c r="AG21" i="8"/>
  <c r="AC23" i="8"/>
  <c r="AI24" i="8"/>
  <c r="AF16" i="8"/>
  <c r="AB18" i="8"/>
  <c r="AH19" i="8"/>
  <c r="AD21" i="8"/>
  <c r="AJ22" i="8"/>
  <c r="AF24" i="8"/>
  <c r="AC16" i="8"/>
  <c r="AI17" i="8"/>
  <c r="AE19" i="8"/>
  <c r="AA21" i="8"/>
  <c r="AG22" i="8"/>
  <c r="AC24" i="8"/>
  <c r="AI25" i="8"/>
  <c r="AB21" i="8"/>
  <c r="AJ25" i="8"/>
  <c r="AE20" i="8"/>
  <c r="AC25" i="8"/>
  <c r="AB20" i="8"/>
  <c r="AD23" i="8"/>
  <c r="AC18" i="8"/>
  <c r="AA23" i="8"/>
  <c r="AO25" i="8"/>
  <c r="AO36" i="8" s="1"/>
  <c r="AS25" i="8"/>
  <c r="AN25" i="8"/>
  <c r="AN36" i="8" s="1"/>
  <c r="AP25" i="8"/>
  <c r="AP36" i="8" s="1"/>
  <c r="AT25" i="8"/>
  <c r="AT36" i="8" s="1"/>
  <c r="AR25" i="8"/>
  <c r="AR36" i="8" s="1"/>
  <c r="AM25" i="8"/>
  <c r="AM36" i="8" s="1"/>
  <c r="AQ25" i="8"/>
  <c r="AQ36" i="8" s="1"/>
  <c r="AU25" i="8"/>
  <c r="AU36" i="8" s="1"/>
  <c r="AV25" i="8"/>
  <c r="AV36" i="8" s="1"/>
  <c r="AM26" i="8"/>
  <c r="AM37" i="8" s="1"/>
  <c r="AQ26" i="8"/>
  <c r="AU26" i="8"/>
  <c r="AU37" i="8" s="1"/>
  <c r="AN26" i="8"/>
  <c r="AN37" i="8" s="1"/>
  <c r="AR26" i="8"/>
  <c r="AR37" i="8" s="1"/>
  <c r="AV26" i="8"/>
  <c r="AV37" i="8" s="1"/>
  <c r="AP26" i="8"/>
  <c r="AP37" i="8" s="1"/>
  <c r="AO26" i="8"/>
  <c r="AS26" i="8"/>
  <c r="AS37" i="8" s="1"/>
  <c r="AT26" i="8"/>
  <c r="AT37" i="8" s="1"/>
  <c r="AQ24" i="8"/>
  <c r="AQ35" i="8" s="1"/>
  <c r="AU24" i="8"/>
  <c r="AU35" i="8" s="1"/>
  <c r="AN24" i="8"/>
  <c r="AR24" i="8"/>
  <c r="AR35" i="8" s="1"/>
  <c r="AV24" i="8"/>
  <c r="AV35" i="8" s="1"/>
  <c r="AT24" i="8"/>
  <c r="AT35" i="8" s="1"/>
  <c r="AO24" i="8"/>
  <c r="AO35" i="8" s="1"/>
  <c r="AS24" i="8"/>
  <c r="AS35" i="8" s="1"/>
  <c r="AP24" i="8"/>
  <c r="AP35" i="8" s="1"/>
  <c r="AO27" i="8"/>
  <c r="AO38" i="8" s="1"/>
  <c r="AS27" i="8"/>
  <c r="AS38" i="8" s="1"/>
  <c r="AP27" i="8"/>
  <c r="AT27" i="8"/>
  <c r="AT38" i="8" s="1"/>
  <c r="AN27" i="8"/>
  <c r="AN38" i="8" s="1"/>
  <c r="AV27" i="8"/>
  <c r="AV38" i="8" s="1"/>
  <c r="AM27" i="8"/>
  <c r="AQ27" i="8"/>
  <c r="AQ38" i="8" s="1"/>
  <c r="AU27" i="8"/>
  <c r="AU38" i="8" s="1"/>
  <c r="AR27" i="8"/>
  <c r="AR38" i="8" s="1"/>
  <c r="AX40" i="8"/>
  <c r="AM38" i="8"/>
  <c r="AM35" i="8"/>
  <c r="AP38" i="8"/>
  <c r="AS36" i="8"/>
  <c r="AO37" i="8"/>
  <c r="C25" i="6" a="1"/>
  <c r="C13" i="6" a="1"/>
  <c r="AM9" i="8" l="1"/>
  <c r="AM10" i="8" s="1"/>
  <c r="AN9" i="8"/>
  <c r="AR9" i="8"/>
  <c r="AV9" i="8"/>
  <c r="AQ9" i="8"/>
  <c r="AQ10" i="8" s="1"/>
  <c r="AO9" i="8"/>
  <c r="AO10" i="8" s="1"/>
  <c r="AS9" i="8"/>
  <c r="AU9" i="8"/>
  <c r="AU10" i="8" s="1"/>
  <c r="AP9" i="8"/>
  <c r="AP10" i="8" s="1"/>
  <c r="AT9" i="8"/>
  <c r="AT10" i="8" s="1"/>
  <c r="AQ28" i="8"/>
  <c r="AQ30" i="8" s="1"/>
  <c r="AQ37" i="8"/>
  <c r="AQ39" i="8" s="1"/>
  <c r="AQ41" i="8" s="1"/>
  <c r="AN28" i="8"/>
  <c r="AN30" i="8" s="1"/>
  <c r="AN35" i="8"/>
  <c r="AN39" i="8" s="1"/>
  <c r="AN41" i="8" s="1"/>
  <c r="AU28" i="8"/>
  <c r="AU30" i="8" s="1"/>
  <c r="AP39" i="8"/>
  <c r="AP41" i="8" s="1"/>
  <c r="AW25" i="8"/>
  <c r="AT39" i="8"/>
  <c r="AT41" i="8" s="1"/>
  <c r="AR39" i="8"/>
  <c r="AR41" i="8" s="1"/>
  <c r="AS39" i="8"/>
  <c r="AS41" i="8" s="1"/>
  <c r="AV39" i="8"/>
  <c r="AV41" i="8" s="1"/>
  <c r="AU39" i="8"/>
  <c r="AU41" i="8" s="1"/>
  <c r="AT28" i="8"/>
  <c r="AT30" i="8" s="1"/>
  <c r="AW27" i="8"/>
  <c r="AP28" i="8"/>
  <c r="AP30" i="8" s="1"/>
  <c r="AM39" i="8"/>
  <c r="AM41" i="8" s="1"/>
  <c r="AO39" i="8"/>
  <c r="AO41" i="8" s="1"/>
  <c r="AR28" i="8"/>
  <c r="AR30" i="8" s="1"/>
  <c r="AO28" i="8"/>
  <c r="AO30" i="8" s="1"/>
  <c r="AV28" i="8"/>
  <c r="AV30" i="8" s="1"/>
  <c r="AS28" i="8"/>
  <c r="AS30" i="8" s="1"/>
  <c r="AW26" i="8"/>
  <c r="AM28" i="8"/>
  <c r="AM30" i="8" s="1"/>
  <c r="AW24" i="8"/>
  <c r="F18" i="6"/>
  <c r="C15" i="6"/>
  <c r="I21" i="6"/>
  <c r="D15" i="6"/>
  <c r="K19" i="6"/>
  <c r="H16" i="6"/>
  <c r="E15" i="6"/>
  <c r="G15" i="6"/>
  <c r="G13" i="6"/>
  <c r="H17" i="6"/>
  <c r="K21" i="6"/>
  <c r="H15" i="6"/>
  <c r="G19" i="6"/>
  <c r="G14" i="6"/>
  <c r="K14" i="6"/>
  <c r="E13" i="6"/>
  <c r="D18" i="6"/>
  <c r="D13" i="6"/>
  <c r="J13" i="6"/>
  <c r="K17" i="6"/>
  <c r="C21" i="6"/>
  <c r="E19" i="6"/>
  <c r="D16" i="6"/>
  <c r="C18" i="6"/>
  <c r="I20" i="6"/>
  <c r="D19" i="6"/>
  <c r="H20" i="6"/>
  <c r="J21" i="6"/>
  <c r="E14" i="6"/>
  <c r="H19" i="6"/>
  <c r="I15" i="6"/>
  <c r="C14" i="6"/>
  <c r="K16" i="6"/>
  <c r="D17" i="6"/>
  <c r="J19" i="6"/>
  <c r="C16" i="6"/>
  <c r="C20" i="6"/>
  <c r="E20" i="6"/>
  <c r="G18" i="6"/>
  <c r="F16" i="6"/>
  <c r="C17" i="6"/>
  <c r="C19" i="6"/>
  <c r="J16" i="6"/>
  <c r="E16" i="6"/>
  <c r="H14" i="6"/>
  <c r="I17" i="6"/>
  <c r="H21" i="6"/>
  <c r="I14" i="6"/>
  <c r="G16" i="6"/>
  <c r="G21" i="6"/>
  <c r="K15" i="6"/>
  <c r="E17" i="6"/>
  <c r="K20" i="6"/>
  <c r="E18" i="6"/>
  <c r="I16" i="6"/>
  <c r="F19" i="6"/>
  <c r="E21" i="6"/>
  <c r="I19" i="6"/>
  <c r="D20" i="6"/>
  <c r="J20" i="6"/>
  <c r="F13" i="6"/>
  <c r="H18" i="6"/>
  <c r="K13" i="6"/>
  <c r="J15" i="6"/>
  <c r="I18" i="6"/>
  <c r="J18" i="6"/>
  <c r="J17" i="6"/>
  <c r="D21" i="6"/>
  <c r="C13" i="6"/>
  <c r="F15" i="6"/>
  <c r="F17" i="6"/>
  <c r="D14" i="6"/>
  <c r="K18" i="6"/>
  <c r="G17" i="6"/>
  <c r="F14" i="6"/>
  <c r="F21" i="6"/>
  <c r="H13" i="6"/>
  <c r="J14" i="6"/>
  <c r="I13" i="6"/>
  <c r="G20" i="6"/>
  <c r="F20" i="6"/>
  <c r="G27" i="6"/>
  <c r="F26" i="6"/>
  <c r="J26" i="6"/>
  <c r="H26" i="6"/>
  <c r="I29" i="6"/>
  <c r="I30" i="6"/>
  <c r="C26" i="6"/>
  <c r="I31" i="6"/>
  <c r="C29" i="6"/>
  <c r="F30" i="6"/>
  <c r="G30" i="6"/>
  <c r="K25" i="6"/>
  <c r="D32" i="6"/>
  <c r="K30" i="6"/>
  <c r="G33" i="6"/>
  <c r="J27" i="6"/>
  <c r="J29" i="6"/>
  <c r="H33" i="6"/>
  <c r="F29" i="6"/>
  <c r="I27" i="6"/>
  <c r="D29" i="6"/>
  <c r="K26" i="6"/>
  <c r="G32" i="6"/>
  <c r="C31" i="6"/>
  <c r="D30" i="6"/>
  <c r="G26" i="6"/>
  <c r="C25" i="6"/>
  <c r="E30" i="6"/>
  <c r="I25" i="6"/>
  <c r="G31" i="6"/>
  <c r="C32" i="6"/>
  <c r="D31" i="6"/>
  <c r="D28" i="6"/>
  <c r="H27" i="6"/>
  <c r="C30" i="6"/>
  <c r="J25" i="6"/>
  <c r="J33" i="6"/>
  <c r="E31" i="6"/>
  <c r="E29" i="6"/>
  <c r="C33" i="6"/>
  <c r="C27" i="6"/>
  <c r="K33" i="6"/>
  <c r="F25" i="6"/>
  <c r="F28" i="6"/>
  <c r="E27" i="6"/>
  <c r="E26" i="6"/>
  <c r="G28" i="6"/>
  <c r="J30" i="6"/>
  <c r="H25" i="6"/>
  <c r="J28" i="6"/>
  <c r="K32" i="6"/>
  <c r="G29" i="6"/>
  <c r="H29" i="6"/>
  <c r="D25" i="6"/>
  <c r="H30" i="6"/>
  <c r="I28" i="6"/>
  <c r="D26" i="6"/>
  <c r="K31" i="6"/>
  <c r="H32" i="6"/>
  <c r="D27" i="6"/>
  <c r="H28" i="6"/>
  <c r="H31" i="6"/>
  <c r="C28" i="6"/>
  <c r="I33" i="6"/>
  <c r="K27" i="6"/>
  <c r="E32" i="6"/>
  <c r="F33" i="6"/>
  <c r="F27" i="6"/>
  <c r="F31" i="6"/>
  <c r="E28" i="6"/>
  <c r="G25" i="6"/>
  <c r="J32" i="6"/>
  <c r="F32" i="6"/>
  <c r="K28" i="6"/>
  <c r="J31" i="6"/>
  <c r="I32" i="6"/>
  <c r="K29" i="6"/>
  <c r="I26" i="6"/>
  <c r="E33" i="6"/>
  <c r="E25" i="6"/>
  <c r="D33" i="6"/>
  <c r="AN10" i="8"/>
  <c r="AR10" i="8"/>
  <c r="AV10" i="8"/>
  <c r="AS10" i="8"/>
  <c r="BE6" i="8" l="1"/>
  <c r="BE10" i="8"/>
  <c r="BE14" i="8"/>
  <c r="BE18" i="8"/>
  <c r="BE22" i="8"/>
  <c r="BE26" i="8"/>
  <c r="BE30" i="8"/>
  <c r="BE34" i="8"/>
  <c r="BE38" i="8"/>
  <c r="BE42" i="8"/>
  <c r="BE46" i="8"/>
  <c r="BE50" i="8"/>
  <c r="BE54" i="8"/>
  <c r="BE58" i="8"/>
  <c r="BE62" i="8"/>
  <c r="BE66" i="8"/>
  <c r="BE70" i="8"/>
  <c r="BE74" i="8"/>
  <c r="BE78" i="8"/>
  <c r="BE82" i="8"/>
  <c r="BE86" i="8"/>
  <c r="BE90" i="8"/>
  <c r="BE94" i="8"/>
  <c r="BE98" i="8"/>
  <c r="BE102" i="8"/>
  <c r="BE106" i="8"/>
  <c r="BE110" i="8"/>
  <c r="BE114" i="8"/>
  <c r="BE118" i="8"/>
  <c r="BE122" i="8"/>
  <c r="BE126" i="8"/>
  <c r="BE130" i="8"/>
  <c r="BE134" i="8"/>
  <c r="BE138" i="8"/>
  <c r="BE142" i="8"/>
  <c r="BE146" i="8"/>
  <c r="BE150" i="8"/>
  <c r="BE154" i="8"/>
  <c r="BE158" i="8"/>
  <c r="BE162" i="8"/>
  <c r="BE166" i="8"/>
  <c r="BE170" i="8"/>
  <c r="BE174" i="8"/>
  <c r="BE178" i="8"/>
  <c r="BE182" i="8"/>
  <c r="BE186" i="8"/>
  <c r="BE190" i="8"/>
  <c r="BE194" i="8"/>
  <c r="BE198" i="8"/>
  <c r="BE202" i="8"/>
  <c r="BE206" i="8"/>
  <c r="BE210" i="8"/>
  <c r="BE214" i="8"/>
  <c r="BE218" i="8"/>
  <c r="BE222" i="8"/>
  <c r="BE7" i="8"/>
  <c r="BK6" i="8" s="1"/>
  <c r="BE11" i="8"/>
  <c r="BK10" i="8" s="1"/>
  <c r="BE15" i="8"/>
  <c r="BK14" i="8" s="1"/>
  <c r="BE19" i="8"/>
  <c r="BK18" i="8" s="1"/>
  <c r="BE23" i="8"/>
  <c r="BK22" i="8" s="1"/>
  <c r="BE27" i="8"/>
  <c r="BK26" i="8" s="1"/>
  <c r="BE31" i="8"/>
  <c r="BK30" i="8" s="1"/>
  <c r="BE35" i="8"/>
  <c r="BK34" i="8" s="1"/>
  <c r="BE39" i="8"/>
  <c r="BK38" i="8" s="1"/>
  <c r="BE43" i="8"/>
  <c r="BK42" i="8" s="1"/>
  <c r="BE47" i="8"/>
  <c r="BK46" i="8" s="1"/>
  <c r="BE51" i="8"/>
  <c r="BK50" i="8" s="1"/>
  <c r="BE55" i="8"/>
  <c r="BK54" i="8" s="1"/>
  <c r="BE59" i="8"/>
  <c r="BK58" i="8" s="1"/>
  <c r="BE63" i="8"/>
  <c r="BK62" i="8" s="1"/>
  <c r="BE67" i="8"/>
  <c r="BK66" i="8" s="1"/>
  <c r="BE71" i="8"/>
  <c r="BK70" i="8" s="1"/>
  <c r="BE75" i="8"/>
  <c r="BK74" i="8" s="1"/>
  <c r="BE79" i="8"/>
  <c r="BK78" i="8" s="1"/>
  <c r="BE83" i="8"/>
  <c r="BK82" i="8" s="1"/>
  <c r="BE87" i="8"/>
  <c r="BK86" i="8" s="1"/>
  <c r="BE91" i="8"/>
  <c r="BK90" i="8" s="1"/>
  <c r="BE95" i="8"/>
  <c r="BK94" i="8" s="1"/>
  <c r="BE99" i="8"/>
  <c r="BK98" i="8" s="1"/>
  <c r="BE103" i="8"/>
  <c r="BK102" i="8" s="1"/>
  <c r="BE107" i="8"/>
  <c r="BK106" i="8" s="1"/>
  <c r="BE111" i="8"/>
  <c r="BK110" i="8" s="1"/>
  <c r="BE115" i="8"/>
  <c r="BK114" i="8" s="1"/>
  <c r="BE119" i="8"/>
  <c r="BK118" i="8" s="1"/>
  <c r="BE123" i="8"/>
  <c r="BK122" i="8" s="1"/>
  <c r="BE127" i="8"/>
  <c r="BK126" i="8" s="1"/>
  <c r="BE131" i="8"/>
  <c r="BK130" i="8" s="1"/>
  <c r="BE135" i="8"/>
  <c r="BK134" i="8" s="1"/>
  <c r="BE139" i="8"/>
  <c r="BK138" i="8" s="1"/>
  <c r="BE143" i="8"/>
  <c r="BK142" i="8" s="1"/>
  <c r="BE147" i="8"/>
  <c r="BK146" i="8" s="1"/>
  <c r="BE151" i="8"/>
  <c r="BK150" i="8" s="1"/>
  <c r="BE155" i="8"/>
  <c r="BK154" i="8" s="1"/>
  <c r="BE159" i="8"/>
  <c r="BK158" i="8" s="1"/>
  <c r="BE163" i="8"/>
  <c r="BK162" i="8" s="1"/>
  <c r="BE167" i="8"/>
  <c r="BK166" i="8" s="1"/>
  <c r="BE171" i="8"/>
  <c r="BK170" i="8" s="1"/>
  <c r="BE175" i="8"/>
  <c r="BK174" i="8" s="1"/>
  <c r="BE179" i="8"/>
  <c r="BK178" i="8" s="1"/>
  <c r="BE183" i="8"/>
  <c r="BK182" i="8" s="1"/>
  <c r="BE187" i="8"/>
  <c r="BK186" i="8" s="1"/>
  <c r="BE191" i="8"/>
  <c r="BK190" i="8" s="1"/>
  <c r="BE195" i="8"/>
  <c r="BK194" i="8" s="1"/>
  <c r="BE199" i="8"/>
  <c r="BK198" i="8" s="1"/>
  <c r="BE203" i="8"/>
  <c r="BK202" i="8" s="1"/>
  <c r="BE207" i="8"/>
  <c r="BK206" i="8" s="1"/>
  <c r="BE211" i="8"/>
  <c r="BK210" i="8" s="1"/>
  <c r="BE215" i="8"/>
  <c r="BK214" i="8" s="1"/>
  <c r="BE219" i="8"/>
  <c r="BK218" i="8" s="1"/>
  <c r="BE223" i="8"/>
  <c r="BK222" i="8" s="1"/>
  <c r="BE227" i="8"/>
  <c r="BE231" i="8"/>
  <c r="BE235" i="8"/>
  <c r="BE239" i="8"/>
  <c r="BE243" i="8"/>
  <c r="BE247" i="8"/>
  <c r="BE5" i="8"/>
  <c r="BE8" i="8"/>
  <c r="BE12" i="8"/>
  <c r="BK11" i="8" s="1"/>
  <c r="BE16" i="8"/>
  <c r="BK15" i="8" s="1"/>
  <c r="BE20" i="8"/>
  <c r="BK19" i="8" s="1"/>
  <c r="BE24" i="8"/>
  <c r="BE28" i="8"/>
  <c r="BK27" i="8" s="1"/>
  <c r="BE32" i="8"/>
  <c r="BK31" i="8" s="1"/>
  <c r="BE36" i="8"/>
  <c r="BK35" i="8" s="1"/>
  <c r="BE40" i="8"/>
  <c r="BE44" i="8"/>
  <c r="BK43" i="8" s="1"/>
  <c r="BE48" i="8"/>
  <c r="BK47" i="8" s="1"/>
  <c r="BE52" i="8"/>
  <c r="BK51" i="8" s="1"/>
  <c r="BE56" i="8"/>
  <c r="BE60" i="8"/>
  <c r="BK59" i="8" s="1"/>
  <c r="BE64" i="8"/>
  <c r="BK63" i="8" s="1"/>
  <c r="BE68" i="8"/>
  <c r="BK67" i="8" s="1"/>
  <c r="BE72" i="8"/>
  <c r="BE76" i="8"/>
  <c r="BK75" i="8" s="1"/>
  <c r="BE80" i="8"/>
  <c r="BK79" i="8" s="1"/>
  <c r="BE84" i="8"/>
  <c r="BK83" i="8" s="1"/>
  <c r="BE88" i="8"/>
  <c r="BE92" i="8"/>
  <c r="BK91" i="8" s="1"/>
  <c r="BE96" i="8"/>
  <c r="BK95" i="8" s="1"/>
  <c r="BE100" i="8"/>
  <c r="BK99" i="8" s="1"/>
  <c r="BE104" i="8"/>
  <c r="BE108" i="8"/>
  <c r="BK107" i="8" s="1"/>
  <c r="BE112" i="8"/>
  <c r="BK111" i="8" s="1"/>
  <c r="BE116" i="8"/>
  <c r="BK115" i="8" s="1"/>
  <c r="BE120" i="8"/>
  <c r="BE124" i="8"/>
  <c r="BK123" i="8" s="1"/>
  <c r="BE128" i="8"/>
  <c r="BK127" i="8" s="1"/>
  <c r="BE132" i="8"/>
  <c r="BK131" i="8" s="1"/>
  <c r="BE136" i="8"/>
  <c r="BE140" i="8"/>
  <c r="BK139" i="8" s="1"/>
  <c r="BE144" i="8"/>
  <c r="BK143" i="8" s="1"/>
  <c r="BE148" i="8"/>
  <c r="BK147" i="8" s="1"/>
  <c r="BE152" i="8"/>
  <c r="BE156" i="8"/>
  <c r="BK155" i="8" s="1"/>
  <c r="BE160" i="8"/>
  <c r="BK159" i="8" s="1"/>
  <c r="BE164" i="8"/>
  <c r="BK163" i="8" s="1"/>
  <c r="BE168" i="8"/>
  <c r="BE172" i="8"/>
  <c r="BK171" i="8" s="1"/>
  <c r="BE176" i="8"/>
  <c r="BK175" i="8" s="1"/>
  <c r="BE180" i="8"/>
  <c r="BK179" i="8" s="1"/>
  <c r="BE184" i="8"/>
  <c r="BE188" i="8"/>
  <c r="BK187" i="8" s="1"/>
  <c r="BE192" i="8"/>
  <c r="BK191" i="8" s="1"/>
  <c r="BE196" i="8"/>
  <c r="BK195" i="8" s="1"/>
  <c r="BE200" i="8"/>
  <c r="BE204" i="8"/>
  <c r="BK203" i="8" s="1"/>
  <c r="BE208" i="8"/>
  <c r="BK207" i="8" s="1"/>
  <c r="BE212" i="8"/>
  <c r="BK211" i="8" s="1"/>
  <c r="BE216" i="8"/>
  <c r="BE220" i="8"/>
  <c r="BK219" i="8" s="1"/>
  <c r="BE224" i="8"/>
  <c r="BK223" i="8" s="1"/>
  <c r="BE228" i="8"/>
  <c r="BK227" i="8" s="1"/>
  <c r="BE232" i="8"/>
  <c r="BE236" i="8"/>
  <c r="BK235" i="8" s="1"/>
  <c r="BE240" i="8"/>
  <c r="BK239" i="8" s="1"/>
  <c r="BE244" i="8"/>
  <c r="BK243" i="8" s="1"/>
  <c r="BE248" i="8"/>
  <c r="BE9" i="8"/>
  <c r="BE25" i="8"/>
  <c r="BE41" i="8"/>
  <c r="BE57" i="8"/>
  <c r="BE73" i="8"/>
  <c r="BE89" i="8"/>
  <c r="BE105" i="8"/>
  <c r="BE121" i="8"/>
  <c r="BE137" i="8"/>
  <c r="BE153" i="8"/>
  <c r="BE169" i="8"/>
  <c r="BE185" i="8"/>
  <c r="BK184" i="8" s="1"/>
  <c r="BE201" i="8"/>
  <c r="BK200" i="8" s="1"/>
  <c r="BE217" i="8"/>
  <c r="BK216" i="8" s="1"/>
  <c r="BE229" i="8"/>
  <c r="BK228" i="8" s="1"/>
  <c r="BE237" i="8"/>
  <c r="BE245" i="8"/>
  <c r="BE13" i="8"/>
  <c r="BK12" i="8" s="1"/>
  <c r="BE29" i="8"/>
  <c r="BK28" i="8" s="1"/>
  <c r="BE45" i="8"/>
  <c r="BK44" i="8" s="1"/>
  <c r="BE61" i="8"/>
  <c r="BK60" i="8" s="1"/>
  <c r="BE77" i="8"/>
  <c r="BK76" i="8" s="1"/>
  <c r="BE93" i="8"/>
  <c r="BK92" i="8" s="1"/>
  <c r="BE109" i="8"/>
  <c r="BK108" i="8" s="1"/>
  <c r="BE125" i="8"/>
  <c r="BK124" i="8" s="1"/>
  <c r="BE141" i="8"/>
  <c r="BK140" i="8" s="1"/>
  <c r="BE157" i="8"/>
  <c r="BK156" i="8" s="1"/>
  <c r="BE173" i="8"/>
  <c r="BK172" i="8" s="1"/>
  <c r="BE189" i="8"/>
  <c r="BK188" i="8" s="1"/>
  <c r="BE205" i="8"/>
  <c r="BK204" i="8" s="1"/>
  <c r="BE221" i="8"/>
  <c r="BK220" i="8" s="1"/>
  <c r="BE230" i="8"/>
  <c r="BE238" i="8"/>
  <c r="BK237" i="8" s="1"/>
  <c r="BE246" i="8"/>
  <c r="BE17" i="8"/>
  <c r="BE33" i="8"/>
  <c r="BE49" i="8"/>
  <c r="BE65" i="8"/>
  <c r="BE81" i="8"/>
  <c r="BE97" i="8"/>
  <c r="BE113" i="8"/>
  <c r="BE129" i="8"/>
  <c r="BE145" i="8"/>
  <c r="BE161" i="8"/>
  <c r="BE177" i="8"/>
  <c r="BK176" i="8" s="1"/>
  <c r="BE193" i="8"/>
  <c r="BK192" i="8" s="1"/>
  <c r="BE209" i="8"/>
  <c r="BK208" i="8" s="1"/>
  <c r="BE225" i="8"/>
  <c r="BE233" i="8"/>
  <c r="BK232" i="8" s="1"/>
  <c r="BE241" i="8"/>
  <c r="BK240" i="8" s="1"/>
  <c r="BE249" i="8"/>
  <c r="BE21" i="8"/>
  <c r="BK20" i="8" s="1"/>
  <c r="BE85" i="8"/>
  <c r="BK84" i="8" s="1"/>
  <c r="BE149" i="8"/>
  <c r="BK148" i="8" s="1"/>
  <c r="BE213" i="8"/>
  <c r="BK212" i="8" s="1"/>
  <c r="BE250" i="8"/>
  <c r="BE37" i="8"/>
  <c r="BK36" i="8" s="1"/>
  <c r="BE101" i="8"/>
  <c r="BK100" i="8" s="1"/>
  <c r="BE165" i="8"/>
  <c r="BK164" i="8" s="1"/>
  <c r="BE226" i="8"/>
  <c r="BK225" i="8" s="1"/>
  <c r="BE53" i="8"/>
  <c r="BK52" i="8" s="1"/>
  <c r="BE117" i="8"/>
  <c r="BK116" i="8" s="1"/>
  <c r="BE181" i="8"/>
  <c r="BK180" i="8" s="1"/>
  <c r="BE234" i="8"/>
  <c r="BE69" i="8"/>
  <c r="BK68" i="8" s="1"/>
  <c r="BE133" i="8"/>
  <c r="BK132" i="8" s="1"/>
  <c r="BE197" i="8"/>
  <c r="BK196" i="8" s="1"/>
  <c r="BE242" i="8"/>
  <c r="BD9" i="8"/>
  <c r="BD13" i="8"/>
  <c r="BD17" i="8"/>
  <c r="BD6" i="8"/>
  <c r="BD10" i="8"/>
  <c r="BJ9" i="8" s="1"/>
  <c r="BD14" i="8"/>
  <c r="BJ13" i="8" s="1"/>
  <c r="BD18" i="8"/>
  <c r="BJ17" i="8" s="1"/>
  <c r="BD22" i="8"/>
  <c r="BD26" i="8"/>
  <c r="BD30" i="8"/>
  <c r="BD34" i="8"/>
  <c r="BD38" i="8"/>
  <c r="BD42" i="8"/>
  <c r="BD46" i="8"/>
  <c r="BD50" i="8"/>
  <c r="BD54" i="8"/>
  <c r="BD58" i="8"/>
  <c r="BD62" i="8"/>
  <c r="BD66" i="8"/>
  <c r="BD70" i="8"/>
  <c r="BD74" i="8"/>
  <c r="BD78" i="8"/>
  <c r="BD82" i="8"/>
  <c r="BD86" i="8"/>
  <c r="BD90" i="8"/>
  <c r="BD94" i="8"/>
  <c r="BD98" i="8"/>
  <c r="BD7" i="8"/>
  <c r="BJ6" i="8" s="1"/>
  <c r="BD15" i="8"/>
  <c r="BD21" i="8"/>
  <c r="BD27" i="8"/>
  <c r="BJ26" i="8" s="1"/>
  <c r="BD32" i="8"/>
  <c r="BD37" i="8"/>
  <c r="BD43" i="8"/>
  <c r="BJ42" i="8" s="1"/>
  <c r="BD48" i="8"/>
  <c r="BD53" i="8"/>
  <c r="BD59" i="8"/>
  <c r="BJ58" i="8" s="1"/>
  <c r="BD64" i="8"/>
  <c r="BD69" i="8"/>
  <c r="BD75" i="8"/>
  <c r="BD80" i="8"/>
  <c r="BD85" i="8"/>
  <c r="BD91" i="8"/>
  <c r="BJ90" i="8" s="1"/>
  <c r="BD96" i="8"/>
  <c r="BD101" i="8"/>
  <c r="BD105" i="8"/>
  <c r="BD109" i="8"/>
  <c r="BD113" i="8"/>
  <c r="BD117" i="8"/>
  <c r="BD121" i="8"/>
  <c r="BD125" i="8"/>
  <c r="BD129" i="8"/>
  <c r="BD133" i="8"/>
  <c r="BD137" i="8"/>
  <c r="BD141" i="8"/>
  <c r="BD145" i="8"/>
  <c r="BD149" i="8"/>
  <c r="BD153" i="8"/>
  <c r="BD157" i="8"/>
  <c r="BD161" i="8"/>
  <c r="BD165" i="8"/>
  <c r="BD169" i="8"/>
  <c r="BD173" i="8"/>
  <c r="BD177" i="8"/>
  <c r="BD181" i="8"/>
  <c r="BD185" i="8"/>
  <c r="BD189" i="8"/>
  <c r="BD193" i="8"/>
  <c r="BD197" i="8"/>
  <c r="BD201" i="8"/>
  <c r="BD205" i="8"/>
  <c r="BD209" i="8"/>
  <c r="BD213" i="8"/>
  <c r="BD217" i="8"/>
  <c r="BD221" i="8"/>
  <c r="BD225" i="8"/>
  <c r="BD229" i="8"/>
  <c r="BD233" i="8"/>
  <c r="BD237" i="8"/>
  <c r="BD241" i="8"/>
  <c r="BD245" i="8"/>
  <c r="BD249" i="8"/>
  <c r="BD8" i="8"/>
  <c r="BJ7" i="8" s="1"/>
  <c r="BD16" i="8"/>
  <c r="BJ15" i="8" s="1"/>
  <c r="BD23" i="8"/>
  <c r="BJ22" i="8" s="1"/>
  <c r="BD28" i="8"/>
  <c r="BJ27" i="8" s="1"/>
  <c r="BD33" i="8"/>
  <c r="BJ32" i="8" s="1"/>
  <c r="BD39" i="8"/>
  <c r="BJ38" i="8" s="1"/>
  <c r="BD44" i="8"/>
  <c r="BD49" i="8"/>
  <c r="BJ48" i="8" s="1"/>
  <c r="BD55" i="8"/>
  <c r="BJ54" i="8" s="1"/>
  <c r="BD60" i="8"/>
  <c r="BJ59" i="8" s="1"/>
  <c r="BD65" i="8"/>
  <c r="BD71" i="8"/>
  <c r="BJ70" i="8" s="1"/>
  <c r="BD76" i="8"/>
  <c r="BJ75" i="8" s="1"/>
  <c r="BD81" i="8"/>
  <c r="BJ80" i="8" s="1"/>
  <c r="BD87" i="8"/>
  <c r="BJ86" i="8" s="1"/>
  <c r="BD92" i="8"/>
  <c r="BJ91" i="8" s="1"/>
  <c r="BD97" i="8"/>
  <c r="BJ96" i="8" s="1"/>
  <c r="BD102" i="8"/>
  <c r="BJ101" i="8" s="1"/>
  <c r="BD106" i="8"/>
  <c r="BD110" i="8"/>
  <c r="BJ109" i="8" s="1"/>
  <c r="BD114" i="8"/>
  <c r="BJ113" i="8" s="1"/>
  <c r="BD118" i="8"/>
  <c r="BJ117" i="8" s="1"/>
  <c r="BD122" i="8"/>
  <c r="BD126" i="8"/>
  <c r="BJ125" i="8" s="1"/>
  <c r="BD130" i="8"/>
  <c r="BJ129" i="8" s="1"/>
  <c r="BD134" i="8"/>
  <c r="BJ133" i="8" s="1"/>
  <c r="BD138" i="8"/>
  <c r="BD142" i="8"/>
  <c r="BJ141" i="8" s="1"/>
  <c r="BD146" i="8"/>
  <c r="BJ145" i="8" s="1"/>
  <c r="BD150" i="8"/>
  <c r="BJ149" i="8" s="1"/>
  <c r="BD154" i="8"/>
  <c r="BD158" i="8"/>
  <c r="BJ157" i="8" s="1"/>
  <c r="BD162" i="8"/>
  <c r="BJ161" i="8" s="1"/>
  <c r="BD166" i="8"/>
  <c r="BJ165" i="8" s="1"/>
  <c r="BD170" i="8"/>
  <c r="BD174" i="8"/>
  <c r="BJ173" i="8" s="1"/>
  <c r="BD178" i="8"/>
  <c r="BJ177" i="8" s="1"/>
  <c r="BD182" i="8"/>
  <c r="BJ181" i="8" s="1"/>
  <c r="BD186" i="8"/>
  <c r="BD190" i="8"/>
  <c r="BJ189" i="8" s="1"/>
  <c r="BD194" i="8"/>
  <c r="BJ193" i="8" s="1"/>
  <c r="BD11" i="8"/>
  <c r="BJ10" i="8" s="1"/>
  <c r="BD19" i="8"/>
  <c r="BJ18" i="8" s="1"/>
  <c r="BD24" i="8"/>
  <c r="BJ23" i="8" s="1"/>
  <c r="BD29" i="8"/>
  <c r="BD35" i="8"/>
  <c r="BJ34" i="8" s="1"/>
  <c r="BD40" i="8"/>
  <c r="BJ39" i="8" s="1"/>
  <c r="BD45" i="8"/>
  <c r="BJ44" i="8" s="1"/>
  <c r="BD51" i="8"/>
  <c r="BJ50" i="8" s="1"/>
  <c r="BD56" i="8"/>
  <c r="BD61" i="8"/>
  <c r="BJ60" i="8" s="1"/>
  <c r="BD67" i="8"/>
  <c r="BJ66" i="8" s="1"/>
  <c r="BD72" i="8"/>
  <c r="BD77" i="8"/>
  <c r="BD83" i="8"/>
  <c r="BJ82" i="8" s="1"/>
  <c r="BD88" i="8"/>
  <c r="BJ87" i="8" s="1"/>
  <c r="BD93" i="8"/>
  <c r="BD99" i="8"/>
  <c r="BJ98" i="8" s="1"/>
  <c r="BD103" i="8"/>
  <c r="BJ102" i="8" s="1"/>
  <c r="BD107" i="8"/>
  <c r="BJ106" i="8" s="1"/>
  <c r="BD111" i="8"/>
  <c r="BD115" i="8"/>
  <c r="BD119" i="8"/>
  <c r="BJ118" i="8" s="1"/>
  <c r="BD123" i="8"/>
  <c r="BJ122" i="8" s="1"/>
  <c r="BD127" i="8"/>
  <c r="BD131" i="8"/>
  <c r="BD135" i="8"/>
  <c r="BJ134" i="8" s="1"/>
  <c r="BD139" i="8"/>
  <c r="BJ138" i="8" s="1"/>
  <c r="BD143" i="8"/>
  <c r="BD147" i="8"/>
  <c r="BD151" i="8"/>
  <c r="BJ150" i="8" s="1"/>
  <c r="BD155" i="8"/>
  <c r="BJ154" i="8" s="1"/>
  <c r="BD159" i="8"/>
  <c r="BD163" i="8"/>
  <c r="BD167" i="8"/>
  <c r="BJ166" i="8" s="1"/>
  <c r="BD171" i="8"/>
  <c r="BJ170" i="8" s="1"/>
  <c r="BD175" i="8"/>
  <c r="BD179" i="8"/>
  <c r="BD183" i="8"/>
  <c r="BJ182" i="8" s="1"/>
  <c r="BD187" i="8"/>
  <c r="BJ186" i="8" s="1"/>
  <c r="BD191" i="8"/>
  <c r="BD195" i="8"/>
  <c r="BD199" i="8"/>
  <c r="BD203" i="8"/>
  <c r="BD207" i="8"/>
  <c r="BD211" i="8"/>
  <c r="BD215" i="8"/>
  <c r="BD219" i="8"/>
  <c r="BD223" i="8"/>
  <c r="BD227" i="8"/>
  <c r="BD231" i="8"/>
  <c r="BD235" i="8"/>
  <c r="BD239" i="8"/>
  <c r="BD243" i="8"/>
  <c r="BD247" i="8"/>
  <c r="BD5" i="8"/>
  <c r="BJ5" i="8" s="1"/>
  <c r="BD31" i="8"/>
  <c r="BJ30" i="8" s="1"/>
  <c r="BD52" i="8"/>
  <c r="BD73" i="8"/>
  <c r="BJ72" i="8" s="1"/>
  <c r="BD95" i="8"/>
  <c r="BJ94" i="8" s="1"/>
  <c r="BD112" i="8"/>
  <c r="BJ111" i="8" s="1"/>
  <c r="BD128" i="8"/>
  <c r="BD144" i="8"/>
  <c r="BJ143" i="8" s="1"/>
  <c r="BD160" i="8"/>
  <c r="BJ159" i="8" s="1"/>
  <c r="BD176" i="8"/>
  <c r="BJ175" i="8" s="1"/>
  <c r="BD192" i="8"/>
  <c r="BD202" i="8"/>
  <c r="BJ201" i="8" s="1"/>
  <c r="BD210" i="8"/>
  <c r="BJ209" i="8" s="1"/>
  <c r="BD218" i="8"/>
  <c r="BJ217" i="8" s="1"/>
  <c r="BD226" i="8"/>
  <c r="BJ225" i="8" s="1"/>
  <c r="BD234" i="8"/>
  <c r="BJ233" i="8" s="1"/>
  <c r="BD242" i="8"/>
  <c r="BJ241" i="8" s="1"/>
  <c r="BD250" i="8"/>
  <c r="BJ249" i="8" s="1"/>
  <c r="BD12" i="8"/>
  <c r="BJ11" i="8" s="1"/>
  <c r="BD36" i="8"/>
  <c r="BJ35" i="8" s="1"/>
  <c r="BD57" i="8"/>
  <c r="BJ56" i="8" s="1"/>
  <c r="BD79" i="8"/>
  <c r="BJ78" i="8" s="1"/>
  <c r="BD100" i="8"/>
  <c r="BJ99" i="8" s="1"/>
  <c r="BD116" i="8"/>
  <c r="BJ115" i="8" s="1"/>
  <c r="BD132" i="8"/>
  <c r="BJ131" i="8" s="1"/>
  <c r="BD148" i="8"/>
  <c r="BJ147" i="8" s="1"/>
  <c r="BD164" i="8"/>
  <c r="BJ163" i="8" s="1"/>
  <c r="BD180" i="8"/>
  <c r="BJ179" i="8" s="1"/>
  <c r="BD196" i="8"/>
  <c r="BJ195" i="8" s="1"/>
  <c r="BD204" i="8"/>
  <c r="BD212" i="8"/>
  <c r="BJ211" i="8" s="1"/>
  <c r="BD220" i="8"/>
  <c r="BD228" i="8"/>
  <c r="BJ227" i="8" s="1"/>
  <c r="BD236" i="8"/>
  <c r="BD244" i="8"/>
  <c r="BJ243" i="8" s="1"/>
  <c r="BD20" i="8"/>
  <c r="BJ19" i="8" s="1"/>
  <c r="BD41" i="8"/>
  <c r="BJ40" i="8" s="1"/>
  <c r="BD63" i="8"/>
  <c r="BJ62" i="8" s="1"/>
  <c r="BD84" i="8"/>
  <c r="BJ83" i="8" s="1"/>
  <c r="BD104" i="8"/>
  <c r="BJ103" i="8" s="1"/>
  <c r="BD120" i="8"/>
  <c r="BJ119" i="8" s="1"/>
  <c r="BD136" i="8"/>
  <c r="BJ135" i="8" s="1"/>
  <c r="BD152" i="8"/>
  <c r="BJ151" i="8" s="1"/>
  <c r="BD168" i="8"/>
  <c r="BJ167" i="8" s="1"/>
  <c r="BD184" i="8"/>
  <c r="BJ183" i="8" s="1"/>
  <c r="BD198" i="8"/>
  <c r="BJ197" i="8" s="1"/>
  <c r="BD206" i="8"/>
  <c r="BJ205" i="8" s="1"/>
  <c r="BD214" i="8"/>
  <c r="BJ213" i="8" s="1"/>
  <c r="BD222" i="8"/>
  <c r="BJ221" i="8" s="1"/>
  <c r="BD230" i="8"/>
  <c r="BJ229" i="8" s="1"/>
  <c r="BD238" i="8"/>
  <c r="BJ237" i="8" s="1"/>
  <c r="BD246" i="8"/>
  <c r="BJ245" i="8" s="1"/>
  <c r="BD25" i="8"/>
  <c r="BJ24" i="8" s="1"/>
  <c r="BD108" i="8"/>
  <c r="BJ107" i="8" s="1"/>
  <c r="BD172" i="8"/>
  <c r="BD216" i="8"/>
  <c r="BJ215" i="8" s="1"/>
  <c r="BD248" i="8"/>
  <c r="BJ247" i="8" s="1"/>
  <c r="BD47" i="8"/>
  <c r="BJ46" i="8" s="1"/>
  <c r="BD124" i="8"/>
  <c r="BD188" i="8"/>
  <c r="BD224" i="8"/>
  <c r="BJ223" i="8" s="1"/>
  <c r="BD68" i="8"/>
  <c r="BJ67" i="8" s="1"/>
  <c r="BD140" i="8"/>
  <c r="BD200" i="8"/>
  <c r="BJ199" i="8" s="1"/>
  <c r="BD232" i="8"/>
  <c r="BJ231" i="8" s="1"/>
  <c r="BD89" i="8"/>
  <c r="BJ88" i="8" s="1"/>
  <c r="BD156" i="8"/>
  <c r="BD208" i="8"/>
  <c r="BJ207" i="8" s="1"/>
  <c r="BD240" i="8"/>
  <c r="BJ239" i="8" s="1"/>
  <c r="AW10" i="8"/>
  <c r="AN11" i="8" s="1"/>
  <c r="AN13" i="8" s="1"/>
  <c r="BB250" i="8"/>
  <c r="BB249" i="8"/>
  <c r="BB248" i="8"/>
  <c r="BH247" i="8" s="1"/>
  <c r="BB247" i="8"/>
  <c r="BH246" i="8" s="1"/>
  <c r="BB246" i="8"/>
  <c r="BB245" i="8"/>
  <c r="BB244" i="8"/>
  <c r="BH243" i="8" s="1"/>
  <c r="BB243" i="8"/>
  <c r="BH242" i="8" s="1"/>
  <c r="BB242" i="8"/>
  <c r="BB241" i="8"/>
  <c r="BB240" i="8"/>
  <c r="BH239" i="8" s="1"/>
  <c r="BB239" i="8"/>
  <c r="BH238" i="8" s="1"/>
  <c r="BB238" i="8"/>
  <c r="BB237" i="8"/>
  <c r="BB236" i="8"/>
  <c r="BH235" i="8" s="1"/>
  <c r="BB235" i="8"/>
  <c r="BH234" i="8" s="1"/>
  <c r="BB234" i="8"/>
  <c r="BB233" i="8"/>
  <c r="BB232" i="8"/>
  <c r="BH231" i="8" s="1"/>
  <c r="BB231" i="8"/>
  <c r="BH230" i="8" s="1"/>
  <c r="BB230" i="8"/>
  <c r="BB229" i="8"/>
  <c r="BB228" i="8"/>
  <c r="BH227" i="8" s="1"/>
  <c r="BB227" i="8"/>
  <c r="BH226" i="8" s="1"/>
  <c r="BB226" i="8"/>
  <c r="BB225" i="8"/>
  <c r="BB224" i="8"/>
  <c r="BH223" i="8" s="1"/>
  <c r="BB223" i="8"/>
  <c r="BH222" i="8" s="1"/>
  <c r="BB222" i="8"/>
  <c r="BB221" i="8"/>
  <c r="BB220" i="8"/>
  <c r="BH219" i="8" s="1"/>
  <c r="BB219" i="8"/>
  <c r="BH218" i="8" s="1"/>
  <c r="BB218" i="8"/>
  <c r="BB217" i="8"/>
  <c r="BB216" i="8"/>
  <c r="BH215" i="8" s="1"/>
  <c r="BB215" i="8"/>
  <c r="BH214" i="8" s="1"/>
  <c r="BB214" i="8"/>
  <c r="BB213" i="8"/>
  <c r="BB212" i="8"/>
  <c r="BH211" i="8" s="1"/>
  <c r="BB211" i="8"/>
  <c r="BH210" i="8" s="1"/>
  <c r="BB210" i="8"/>
  <c r="BB209" i="8"/>
  <c r="BB208" i="8"/>
  <c r="BH207" i="8" s="1"/>
  <c r="BB207" i="8"/>
  <c r="BH206" i="8" s="1"/>
  <c r="BB206" i="8"/>
  <c r="BB205" i="8"/>
  <c r="BB204" i="8"/>
  <c r="BH203" i="8" s="1"/>
  <c r="BB203" i="8"/>
  <c r="BH202" i="8" s="1"/>
  <c r="BB202" i="8"/>
  <c r="BB201" i="8"/>
  <c r="BB200" i="8"/>
  <c r="BH199" i="8" s="1"/>
  <c r="BB199" i="8"/>
  <c r="BH198" i="8" s="1"/>
  <c r="BB198" i="8"/>
  <c r="BB197" i="8"/>
  <c r="BB196" i="8"/>
  <c r="BH195" i="8" s="1"/>
  <c r="BB195" i="8"/>
  <c r="BH194" i="8" s="1"/>
  <c r="BB194" i="8"/>
  <c r="BB193" i="8"/>
  <c r="BB192" i="8"/>
  <c r="BH191" i="8" s="1"/>
  <c r="BB191" i="8"/>
  <c r="BH190" i="8" s="1"/>
  <c r="BB190" i="8"/>
  <c r="BB189" i="8"/>
  <c r="BB188" i="8"/>
  <c r="BH187" i="8" s="1"/>
  <c r="BB187" i="8"/>
  <c r="BH186" i="8" s="1"/>
  <c r="BB186" i="8"/>
  <c r="BB185" i="8"/>
  <c r="BB184" i="8"/>
  <c r="BH183" i="8" s="1"/>
  <c r="BB183" i="8"/>
  <c r="BH182" i="8" s="1"/>
  <c r="BB182" i="8"/>
  <c r="BB181" i="8"/>
  <c r="BB177" i="8"/>
  <c r="BB173" i="8"/>
  <c r="BB169" i="8"/>
  <c r="BB165" i="8"/>
  <c r="BB164" i="8"/>
  <c r="BH163" i="8" s="1"/>
  <c r="BB163" i="8"/>
  <c r="BH162" i="8" s="1"/>
  <c r="BB162" i="8"/>
  <c r="BB161" i="8"/>
  <c r="BB160" i="8"/>
  <c r="BH159" i="8" s="1"/>
  <c r="BB159" i="8"/>
  <c r="BH158" i="8" s="1"/>
  <c r="BB158" i="8"/>
  <c r="BB157" i="8"/>
  <c r="BB156" i="8"/>
  <c r="BH155" i="8" s="1"/>
  <c r="BB155" i="8"/>
  <c r="BH154" i="8" s="1"/>
  <c r="BB154" i="8"/>
  <c r="BB153" i="8"/>
  <c r="BB152" i="8"/>
  <c r="BH151" i="8" s="1"/>
  <c r="BB151" i="8"/>
  <c r="BH150" i="8" s="1"/>
  <c r="BB150" i="8"/>
  <c r="BB149" i="8"/>
  <c r="BB148" i="8"/>
  <c r="BH147" i="8" s="1"/>
  <c r="BB147" i="8"/>
  <c r="BH146" i="8" s="1"/>
  <c r="BB146" i="8"/>
  <c r="BB145" i="8"/>
  <c r="BB144" i="8"/>
  <c r="BH143" i="8" s="1"/>
  <c r="BB143" i="8"/>
  <c r="BH142" i="8" s="1"/>
  <c r="BB142" i="8"/>
  <c r="BB141" i="8"/>
  <c r="BB140" i="8"/>
  <c r="BH139" i="8" s="1"/>
  <c r="BB139" i="8"/>
  <c r="BH138" i="8" s="1"/>
  <c r="BB138" i="8"/>
  <c r="BB137" i="8"/>
  <c r="BB136" i="8"/>
  <c r="BH135" i="8" s="1"/>
  <c r="BB135" i="8"/>
  <c r="BH134" i="8" s="1"/>
  <c r="BB134" i="8"/>
  <c r="BB133" i="8"/>
  <c r="BB132" i="8"/>
  <c r="BH131" i="8" s="1"/>
  <c r="BB131" i="8"/>
  <c r="BH130" i="8" s="1"/>
  <c r="BB130" i="8"/>
  <c r="BB129" i="8"/>
  <c r="BB128" i="8"/>
  <c r="BH127" i="8" s="1"/>
  <c r="BB127" i="8"/>
  <c r="BH126" i="8" s="1"/>
  <c r="BB126" i="8"/>
  <c r="BB125" i="8"/>
  <c r="BB124" i="8"/>
  <c r="BH123" i="8" s="1"/>
  <c r="BB123" i="8"/>
  <c r="BH122" i="8" s="1"/>
  <c r="BB122" i="8"/>
  <c r="BB121" i="8"/>
  <c r="BB120" i="8"/>
  <c r="BH119" i="8" s="1"/>
  <c r="BB119" i="8"/>
  <c r="BH118" i="8" s="1"/>
  <c r="BB118" i="8"/>
  <c r="BB117" i="8"/>
  <c r="BB116" i="8"/>
  <c r="BH115" i="8" s="1"/>
  <c r="BB115" i="8"/>
  <c r="BH114" i="8" s="1"/>
  <c r="BB114" i="8"/>
  <c r="BB113" i="8"/>
  <c r="BB112" i="8"/>
  <c r="BH111" i="8" s="1"/>
  <c r="BB111" i="8"/>
  <c r="BH110" i="8" s="1"/>
  <c r="BB110" i="8"/>
  <c r="BB109" i="8"/>
  <c r="BB108" i="8"/>
  <c r="BH107" i="8" s="1"/>
  <c r="BB107" i="8"/>
  <c r="BH106" i="8" s="1"/>
  <c r="BB106" i="8"/>
  <c r="BB105" i="8"/>
  <c r="BB104" i="8"/>
  <c r="BH103" i="8" s="1"/>
  <c r="BB103" i="8"/>
  <c r="BH102" i="8" s="1"/>
  <c r="BB102" i="8"/>
  <c r="BB101" i="8"/>
  <c r="BB100" i="8"/>
  <c r="BH99" i="8" s="1"/>
  <c r="BB99" i="8"/>
  <c r="BH98" i="8" s="1"/>
  <c r="BB98" i="8"/>
  <c r="BB97" i="8"/>
  <c r="BB96" i="8"/>
  <c r="BH95" i="8" s="1"/>
  <c r="BB95" i="8"/>
  <c r="BH94" i="8" s="1"/>
  <c r="BB94" i="8"/>
  <c r="BB93" i="8"/>
  <c r="BB92" i="8"/>
  <c r="BH91" i="8" s="1"/>
  <c r="BB91" i="8"/>
  <c r="BH90" i="8" s="1"/>
  <c r="BB90" i="8"/>
  <c r="BB178" i="8"/>
  <c r="BB174" i="8"/>
  <c r="BH173" i="8" s="1"/>
  <c r="BB170" i="8"/>
  <c r="BH169" i="8" s="1"/>
  <c r="BB166" i="8"/>
  <c r="BH165" i="8" s="1"/>
  <c r="BB179" i="8"/>
  <c r="BH178" i="8" s="1"/>
  <c r="BB175" i="8"/>
  <c r="BH174" i="8" s="1"/>
  <c r="BB171" i="8"/>
  <c r="BH170" i="8" s="1"/>
  <c r="BB167" i="8"/>
  <c r="BH166" i="8" s="1"/>
  <c r="BB180" i="8"/>
  <c r="BH179" i="8" s="1"/>
  <c r="BB176" i="8"/>
  <c r="BH175" i="8" s="1"/>
  <c r="BB172" i="8"/>
  <c r="BH171" i="8" s="1"/>
  <c r="BB168" i="8"/>
  <c r="BH167" i="8" s="1"/>
  <c r="BB89" i="8"/>
  <c r="BB85" i="8"/>
  <c r="BH84" i="8" s="1"/>
  <c r="BB16" i="8"/>
  <c r="BH15" i="8" s="1"/>
  <c r="BB15" i="8"/>
  <c r="BB14" i="8"/>
  <c r="BB13" i="8"/>
  <c r="BH12" i="8" s="1"/>
  <c r="BB11" i="8"/>
  <c r="BH10" i="8" s="1"/>
  <c r="BB8" i="8"/>
  <c r="BB6" i="8"/>
  <c r="BB86" i="8"/>
  <c r="BH85" i="8" s="1"/>
  <c r="BB87" i="8"/>
  <c r="BB12" i="8"/>
  <c r="BB10" i="8"/>
  <c r="BB7" i="8"/>
  <c r="BH6" i="8" s="1"/>
  <c r="BB5" i="8"/>
  <c r="BB88" i="8"/>
  <c r="BB84" i="8"/>
  <c r="BB83" i="8"/>
  <c r="BH82" i="8" s="1"/>
  <c r="BB82" i="8"/>
  <c r="BH81" i="8" s="1"/>
  <c r="BB81" i="8"/>
  <c r="BB80" i="8"/>
  <c r="BB79" i="8"/>
  <c r="BH78" i="8" s="1"/>
  <c r="BB78" i="8"/>
  <c r="BH77" i="8" s="1"/>
  <c r="BB77" i="8"/>
  <c r="BB76" i="8"/>
  <c r="BB75" i="8"/>
  <c r="BH74" i="8" s="1"/>
  <c r="BB74" i="8"/>
  <c r="BH73" i="8" s="1"/>
  <c r="BB73" i="8"/>
  <c r="BB72" i="8"/>
  <c r="BB71" i="8"/>
  <c r="BH70" i="8" s="1"/>
  <c r="BB70" i="8"/>
  <c r="BH69" i="8" s="1"/>
  <c r="BB69" i="8"/>
  <c r="BB68" i="8"/>
  <c r="BB67" i="8"/>
  <c r="BH66" i="8" s="1"/>
  <c r="BB66" i="8"/>
  <c r="BH65" i="8" s="1"/>
  <c r="BB65" i="8"/>
  <c r="BB64" i="8"/>
  <c r="BB63" i="8"/>
  <c r="BB62" i="8"/>
  <c r="BH61" i="8" s="1"/>
  <c r="BB61" i="8"/>
  <c r="BB60" i="8"/>
  <c r="BB59" i="8"/>
  <c r="BB58" i="8"/>
  <c r="BH57" i="8" s="1"/>
  <c r="BB57" i="8"/>
  <c r="BB56" i="8"/>
  <c r="BB55" i="8"/>
  <c r="BB54" i="8"/>
  <c r="BH53" i="8" s="1"/>
  <c r="BB53" i="8"/>
  <c r="BB52" i="8"/>
  <c r="BB51" i="8"/>
  <c r="BB50" i="8"/>
  <c r="BH49" i="8" s="1"/>
  <c r="BB49" i="8"/>
  <c r="BB48" i="8"/>
  <c r="BB47" i="8"/>
  <c r="BB46" i="8"/>
  <c r="BH45" i="8" s="1"/>
  <c r="BB45" i="8"/>
  <c r="BB44" i="8"/>
  <c r="BB43" i="8"/>
  <c r="BB42" i="8"/>
  <c r="BH41" i="8" s="1"/>
  <c r="BB41" i="8"/>
  <c r="BB40" i="8"/>
  <c r="BB39" i="8"/>
  <c r="BB38" i="8"/>
  <c r="BH37" i="8" s="1"/>
  <c r="BB37" i="8"/>
  <c r="BB36" i="8"/>
  <c r="BB35" i="8"/>
  <c r="BB34" i="8"/>
  <c r="BH33" i="8" s="1"/>
  <c r="BB33" i="8"/>
  <c r="BB32" i="8"/>
  <c r="BB31" i="8"/>
  <c r="BB30" i="8"/>
  <c r="BH29" i="8" s="1"/>
  <c r="BB29" i="8"/>
  <c r="BB28" i="8"/>
  <c r="BB27" i="8"/>
  <c r="BB26" i="8"/>
  <c r="BH25" i="8" s="1"/>
  <c r="BB25" i="8"/>
  <c r="BB24" i="8"/>
  <c r="BB23" i="8"/>
  <c r="BB22" i="8"/>
  <c r="BH21" i="8" s="1"/>
  <c r="BB21" i="8"/>
  <c r="BB20" i="8"/>
  <c r="BB19" i="8"/>
  <c r="BB18" i="8"/>
  <c r="BH17" i="8" s="1"/>
  <c r="BB17" i="8"/>
  <c r="BB9" i="8"/>
  <c r="BH8" i="8" s="1"/>
  <c r="BJ234" i="8" l="1"/>
  <c r="BJ218" i="8"/>
  <c r="BJ202" i="8"/>
  <c r="BJ77" i="8"/>
  <c r="BH62" i="8"/>
  <c r="BH88" i="8"/>
  <c r="BB3" i="8"/>
  <c r="BJ238" i="8"/>
  <c r="BJ206" i="8"/>
  <c r="BH18" i="8"/>
  <c r="BH30" i="8"/>
  <c r="BH42" i="8"/>
  <c r="BH54" i="8"/>
  <c r="BH176" i="8"/>
  <c r="BJ248" i="8"/>
  <c r="BJ232" i="8"/>
  <c r="BJ216" i="8"/>
  <c r="BJ200" i="8"/>
  <c r="BJ184" i="8"/>
  <c r="BJ168" i="8"/>
  <c r="BJ152" i="8"/>
  <c r="BJ136" i="8"/>
  <c r="BJ120" i="8"/>
  <c r="BJ104" i="8"/>
  <c r="BJ84" i="8"/>
  <c r="BJ63" i="8"/>
  <c r="BJ20" i="8"/>
  <c r="BJ93" i="8"/>
  <c r="BJ61" i="8"/>
  <c r="BJ45" i="8"/>
  <c r="BJ29" i="8"/>
  <c r="BJ12" i="8"/>
  <c r="BK129" i="8"/>
  <c r="BK128" i="8"/>
  <c r="BK65" i="8"/>
  <c r="BK64" i="8"/>
  <c r="BK153" i="8"/>
  <c r="BK152" i="8"/>
  <c r="BK89" i="8"/>
  <c r="BK88" i="8"/>
  <c r="BK25" i="8"/>
  <c r="BK24" i="8"/>
  <c r="BK246" i="8"/>
  <c r="BK230" i="8"/>
  <c r="BK209" i="8"/>
  <c r="BK193" i="8"/>
  <c r="BK177" i="8"/>
  <c r="BH26" i="8"/>
  <c r="BH34" i="8"/>
  <c r="BH46" i="8"/>
  <c r="BH58" i="8"/>
  <c r="BH19" i="8"/>
  <c r="BH31" i="8"/>
  <c r="BH39" i="8"/>
  <c r="BH47" i="8"/>
  <c r="BH55" i="8"/>
  <c r="BH63" i="8"/>
  <c r="BH71" i="8"/>
  <c r="BH75" i="8"/>
  <c r="BH79" i="8"/>
  <c r="BH83" i="8"/>
  <c r="BH9" i="8"/>
  <c r="BH5" i="8"/>
  <c r="BH13" i="8"/>
  <c r="BH177" i="8"/>
  <c r="BH92" i="8"/>
  <c r="BH96" i="8"/>
  <c r="BH100" i="8"/>
  <c r="BH104" i="8"/>
  <c r="BH108" i="8"/>
  <c r="BH112" i="8"/>
  <c r="BH116" i="8"/>
  <c r="BH120" i="8"/>
  <c r="BH124" i="8"/>
  <c r="BH128" i="8"/>
  <c r="BH132" i="8"/>
  <c r="BH136" i="8"/>
  <c r="BH140" i="8"/>
  <c r="BH144" i="8"/>
  <c r="BH148" i="8"/>
  <c r="BH152" i="8"/>
  <c r="BH156" i="8"/>
  <c r="BH160" i="8"/>
  <c r="BH164" i="8"/>
  <c r="BH180" i="8"/>
  <c r="BH184" i="8"/>
  <c r="BH188" i="8"/>
  <c r="BH192" i="8"/>
  <c r="BH196" i="8"/>
  <c r="BH200" i="8"/>
  <c r="BH204" i="8"/>
  <c r="BH208" i="8"/>
  <c r="BH212" i="8"/>
  <c r="BH216" i="8"/>
  <c r="BH220" i="8"/>
  <c r="BH224" i="8"/>
  <c r="BH228" i="8"/>
  <c r="BH232" i="8"/>
  <c r="BH236" i="8"/>
  <c r="BH240" i="8"/>
  <c r="BH244" i="8"/>
  <c r="BH248" i="8"/>
  <c r="BJ187" i="8"/>
  <c r="BJ219" i="8"/>
  <c r="BJ246" i="8"/>
  <c r="BJ230" i="8"/>
  <c r="BJ214" i="8"/>
  <c r="BJ198" i="8"/>
  <c r="BJ185" i="8"/>
  <c r="BJ169" i="8"/>
  <c r="BJ153" i="8"/>
  <c r="BJ137" i="8"/>
  <c r="BJ121" i="8"/>
  <c r="BJ105" i="8"/>
  <c r="BJ64" i="8"/>
  <c r="BJ43" i="8"/>
  <c r="BJ244" i="8"/>
  <c r="BJ228" i="8"/>
  <c r="BJ212" i="8"/>
  <c r="BJ196" i="8"/>
  <c r="BJ180" i="8"/>
  <c r="BJ164" i="8"/>
  <c r="BJ148" i="8"/>
  <c r="BJ132" i="8"/>
  <c r="BJ116" i="8"/>
  <c r="BJ100" i="8"/>
  <c r="BJ79" i="8"/>
  <c r="BJ36" i="8"/>
  <c r="BJ14" i="8"/>
  <c r="BJ89" i="8"/>
  <c r="BJ73" i="8"/>
  <c r="BJ57" i="8"/>
  <c r="BJ41" i="8"/>
  <c r="BJ25" i="8"/>
  <c r="BJ8" i="8"/>
  <c r="BK113" i="8"/>
  <c r="BK112" i="8"/>
  <c r="BK49" i="8"/>
  <c r="BK48" i="8"/>
  <c r="BK245" i="8"/>
  <c r="BK244" i="8"/>
  <c r="BK137" i="8"/>
  <c r="BK136" i="8"/>
  <c r="BK73" i="8"/>
  <c r="BK72" i="8"/>
  <c r="BK9" i="8"/>
  <c r="BK8" i="8"/>
  <c r="BK242" i="8"/>
  <c r="BK226" i="8"/>
  <c r="BK221" i="8"/>
  <c r="BK205" i="8"/>
  <c r="BK189" i="8"/>
  <c r="BK173" i="8"/>
  <c r="BK157" i="8"/>
  <c r="BK141" i="8"/>
  <c r="BK125" i="8"/>
  <c r="BK109" i="8"/>
  <c r="BK93" i="8"/>
  <c r="BK77" i="8"/>
  <c r="BK61" i="8"/>
  <c r="BK45" i="8"/>
  <c r="BK29" i="8"/>
  <c r="BK13" i="8"/>
  <c r="BH22" i="8"/>
  <c r="BH38" i="8"/>
  <c r="BH50" i="8"/>
  <c r="BH23" i="8"/>
  <c r="BH27" i="8"/>
  <c r="BH35" i="8"/>
  <c r="BH43" i="8"/>
  <c r="BH51" i="8"/>
  <c r="BH59" i="8"/>
  <c r="BH67" i="8"/>
  <c r="BH16" i="8"/>
  <c r="BH20" i="8"/>
  <c r="BH24" i="8"/>
  <c r="BH28" i="8"/>
  <c r="BH32" i="8"/>
  <c r="BH36" i="8"/>
  <c r="BH40" i="8"/>
  <c r="BH44" i="8"/>
  <c r="BH48" i="8"/>
  <c r="BH52" i="8"/>
  <c r="BH56" i="8"/>
  <c r="BH60" i="8"/>
  <c r="BH64" i="8"/>
  <c r="BH68" i="8"/>
  <c r="BH72" i="8"/>
  <c r="BH76" i="8"/>
  <c r="BH80" i="8"/>
  <c r="BH87" i="8"/>
  <c r="BH11" i="8"/>
  <c r="BH7" i="8"/>
  <c r="BH14" i="8"/>
  <c r="BH89" i="8"/>
  <c r="BH93" i="8"/>
  <c r="BH97" i="8"/>
  <c r="BH101" i="8"/>
  <c r="BH105" i="8"/>
  <c r="BH109" i="8"/>
  <c r="BH113" i="8"/>
  <c r="BH117" i="8"/>
  <c r="BH121" i="8"/>
  <c r="BH125" i="8"/>
  <c r="BH129" i="8"/>
  <c r="BH133" i="8"/>
  <c r="BH137" i="8"/>
  <c r="BH141" i="8"/>
  <c r="BH145" i="8"/>
  <c r="BH149" i="8"/>
  <c r="BH153" i="8"/>
  <c r="BH157" i="8"/>
  <c r="BH161" i="8"/>
  <c r="BH168" i="8"/>
  <c r="BH181" i="8"/>
  <c r="BH185" i="8"/>
  <c r="BH189" i="8"/>
  <c r="BH193" i="8"/>
  <c r="BH197" i="8"/>
  <c r="BH201" i="8"/>
  <c r="BH205" i="8"/>
  <c r="BH209" i="8"/>
  <c r="BH213" i="8"/>
  <c r="BH217" i="8"/>
  <c r="BH221" i="8"/>
  <c r="BH225" i="8"/>
  <c r="BH229" i="8"/>
  <c r="BH233" i="8"/>
  <c r="BH237" i="8"/>
  <c r="BH241" i="8"/>
  <c r="BH245" i="8"/>
  <c r="BH249" i="8"/>
  <c r="BJ155" i="8"/>
  <c r="BJ139" i="8"/>
  <c r="BJ123" i="8"/>
  <c r="BJ171" i="8"/>
  <c r="BJ191" i="8"/>
  <c r="BJ127" i="8"/>
  <c r="BJ51" i="8"/>
  <c r="BJ242" i="8"/>
  <c r="BJ226" i="8"/>
  <c r="BJ210" i="8"/>
  <c r="BJ194" i="8"/>
  <c r="BJ178" i="8"/>
  <c r="BJ162" i="8"/>
  <c r="BJ146" i="8"/>
  <c r="BJ130" i="8"/>
  <c r="BJ114" i="8"/>
  <c r="BJ76" i="8"/>
  <c r="BJ55" i="8"/>
  <c r="BJ240" i="8"/>
  <c r="BJ224" i="8"/>
  <c r="BJ208" i="8"/>
  <c r="BJ192" i="8"/>
  <c r="BJ176" i="8"/>
  <c r="BJ160" i="8"/>
  <c r="BJ144" i="8"/>
  <c r="BJ128" i="8"/>
  <c r="BJ112" i="8"/>
  <c r="BJ95" i="8"/>
  <c r="BJ74" i="8"/>
  <c r="BJ52" i="8"/>
  <c r="BJ31" i="8"/>
  <c r="BJ85" i="8"/>
  <c r="BJ69" i="8"/>
  <c r="BJ53" i="8"/>
  <c r="BJ37" i="8"/>
  <c r="BJ21" i="8"/>
  <c r="BK241" i="8"/>
  <c r="BK233" i="8"/>
  <c r="BK224" i="8"/>
  <c r="BK161" i="8"/>
  <c r="BK160" i="8"/>
  <c r="BK97" i="8"/>
  <c r="BK96" i="8"/>
  <c r="BK33" i="8"/>
  <c r="BK32" i="8"/>
  <c r="BK229" i="8"/>
  <c r="BK236" i="8"/>
  <c r="BK121" i="8"/>
  <c r="BK120" i="8"/>
  <c r="BK57" i="8"/>
  <c r="BK56" i="8"/>
  <c r="BK247" i="8"/>
  <c r="BK231" i="8"/>
  <c r="BK215" i="8"/>
  <c r="BK199" i="8"/>
  <c r="BK183" i="8"/>
  <c r="BK167" i="8"/>
  <c r="BK151" i="8"/>
  <c r="BK135" i="8"/>
  <c r="BK119" i="8"/>
  <c r="BK103" i="8"/>
  <c r="BK87" i="8"/>
  <c r="BK71" i="8"/>
  <c r="BK55" i="8"/>
  <c r="BK39" i="8"/>
  <c r="BK23" i="8"/>
  <c r="BK7" i="8"/>
  <c r="BK238" i="8"/>
  <c r="BK217" i="8"/>
  <c r="BK201" i="8"/>
  <c r="BK185" i="8"/>
  <c r="BH86" i="8"/>
  <c r="BH172" i="8"/>
  <c r="BJ235" i="8"/>
  <c r="BJ203" i="8"/>
  <c r="BJ222" i="8"/>
  <c r="BJ190" i="8"/>
  <c r="BJ174" i="8"/>
  <c r="BJ158" i="8"/>
  <c r="BJ142" i="8"/>
  <c r="BJ126" i="8"/>
  <c r="BJ110" i="8"/>
  <c r="BJ92" i="8"/>
  <c r="BJ71" i="8"/>
  <c r="BJ28" i="8"/>
  <c r="BJ236" i="8"/>
  <c r="BJ220" i="8"/>
  <c r="BJ204" i="8"/>
  <c r="BJ188" i="8"/>
  <c r="BJ172" i="8"/>
  <c r="BJ156" i="8"/>
  <c r="BJ140" i="8"/>
  <c r="BJ124" i="8"/>
  <c r="BJ108" i="8"/>
  <c r="BJ68" i="8"/>
  <c r="BJ47" i="8"/>
  <c r="BJ97" i="8"/>
  <c r="BJ81" i="8"/>
  <c r="BJ65" i="8"/>
  <c r="BJ49" i="8"/>
  <c r="BJ33" i="8"/>
  <c r="BJ16" i="8"/>
  <c r="BK249" i="8"/>
  <c r="BK248" i="8"/>
  <c r="BK145" i="8"/>
  <c r="BK144" i="8"/>
  <c r="BK81" i="8"/>
  <c r="BK80" i="8"/>
  <c r="BK17" i="8"/>
  <c r="BK16" i="8"/>
  <c r="BK169" i="8"/>
  <c r="BK168" i="8"/>
  <c r="BK105" i="8"/>
  <c r="BK104" i="8"/>
  <c r="BK41" i="8"/>
  <c r="BK40" i="8"/>
  <c r="BK234" i="8"/>
  <c r="BK213" i="8"/>
  <c r="BK197" i="8"/>
  <c r="BK181" i="8"/>
  <c r="BK165" i="8"/>
  <c r="BK149" i="8"/>
  <c r="BK133" i="8"/>
  <c r="BK117" i="8"/>
  <c r="BK101" i="8"/>
  <c r="BK85" i="8"/>
  <c r="BK69" i="8"/>
  <c r="BK53" i="8"/>
  <c r="BK37" i="8"/>
  <c r="BK21" i="8"/>
  <c r="BK5" i="8"/>
  <c r="BD4" i="8"/>
  <c r="BB4" i="8"/>
  <c r="BE4" i="8"/>
  <c r="BE3" i="8"/>
  <c r="BE2" i="8"/>
  <c r="AV11" i="8"/>
  <c r="AV13" i="8" s="1"/>
  <c r="BD3" i="8"/>
  <c r="BD2" i="8"/>
  <c r="AR11" i="8"/>
  <c r="AR13" i="8" s="1"/>
  <c r="AU11" i="8"/>
  <c r="AU13" i="8" s="1"/>
  <c r="AQ11" i="8"/>
  <c r="AQ13" i="8" s="1"/>
  <c r="AS11" i="8"/>
  <c r="AS13" i="8" s="1"/>
  <c r="AP11" i="8"/>
  <c r="AP13" i="8" s="1"/>
  <c r="AM11" i="8"/>
  <c r="AM13" i="8" s="1"/>
  <c r="AO11" i="8"/>
  <c r="AO13" i="8" s="1"/>
  <c r="AT11" i="8"/>
  <c r="AT13" i="8" s="1"/>
  <c r="AJ42" i="8"/>
  <c r="AH42" i="8"/>
  <c r="AE42" i="8"/>
  <c r="AF42" i="8"/>
  <c r="AD42" i="8"/>
  <c r="AA42" i="8"/>
  <c r="AI42" i="8"/>
  <c r="AG42" i="8"/>
  <c r="AC42" i="8"/>
  <c r="AB42" i="8"/>
  <c r="BB2" i="8"/>
  <c r="BC6" i="8" l="1"/>
  <c r="BC10" i="8"/>
  <c r="BC14" i="8"/>
  <c r="BC18" i="8"/>
  <c r="BC22" i="8"/>
  <c r="BC26" i="8"/>
  <c r="BC30" i="8"/>
  <c r="BC34" i="8"/>
  <c r="BC38" i="8"/>
  <c r="BC42" i="8"/>
  <c r="BC46" i="8"/>
  <c r="BC50" i="8"/>
  <c r="BC54" i="8"/>
  <c r="BC58" i="8"/>
  <c r="BC62" i="8"/>
  <c r="BC66" i="8"/>
  <c r="BC70" i="8"/>
  <c r="BC74" i="8"/>
  <c r="BC78" i="8"/>
  <c r="BC82" i="8"/>
  <c r="BC86" i="8"/>
  <c r="BC90" i="8"/>
  <c r="BC94" i="8"/>
  <c r="BC98" i="8"/>
  <c r="BC102" i="8"/>
  <c r="BC106" i="8"/>
  <c r="BC110" i="8"/>
  <c r="BC114" i="8"/>
  <c r="BC118" i="8"/>
  <c r="BC122" i="8"/>
  <c r="BC126" i="8"/>
  <c r="BI125" i="8" s="1"/>
  <c r="BC130" i="8"/>
  <c r="BC134" i="8"/>
  <c r="BC138" i="8"/>
  <c r="BC142" i="8"/>
  <c r="BC146" i="8"/>
  <c r="BC150" i="8"/>
  <c r="BC154" i="8"/>
  <c r="BC158" i="8"/>
  <c r="BC162" i="8"/>
  <c r="BC166" i="8"/>
  <c r="BC170" i="8"/>
  <c r="BC174" i="8"/>
  <c r="BC178" i="8"/>
  <c r="BC182" i="8"/>
  <c r="BC186" i="8"/>
  <c r="BC190" i="8"/>
  <c r="BC194" i="8"/>
  <c r="BC198" i="8"/>
  <c r="BC202" i="8"/>
  <c r="BC206" i="8"/>
  <c r="BC210" i="8"/>
  <c r="BC214" i="8"/>
  <c r="BC218" i="8"/>
  <c r="BC222" i="8"/>
  <c r="BI221" i="8" s="1"/>
  <c r="BC226" i="8"/>
  <c r="BC230" i="8"/>
  <c r="BC234" i="8"/>
  <c r="BC238" i="8"/>
  <c r="BC242" i="8"/>
  <c r="BC246" i="8"/>
  <c r="BC250" i="8"/>
  <c r="BC17" i="8"/>
  <c r="BC33" i="8"/>
  <c r="BC37" i="8"/>
  <c r="BC49" i="8"/>
  <c r="BC53" i="8"/>
  <c r="BI52" i="8" s="1"/>
  <c r="BC65" i="8"/>
  <c r="BC85" i="8"/>
  <c r="BC97" i="8"/>
  <c r="BC109" i="8"/>
  <c r="BC117" i="8"/>
  <c r="BC125" i="8"/>
  <c r="BC137" i="8"/>
  <c r="BC149" i="8"/>
  <c r="BC161" i="8"/>
  <c r="BC181" i="8"/>
  <c r="BC193" i="8"/>
  <c r="BC213" i="8"/>
  <c r="BC225" i="8"/>
  <c r="BC7" i="8"/>
  <c r="BI6" i="8" s="1"/>
  <c r="BC11" i="8"/>
  <c r="BI10" i="8" s="1"/>
  <c r="BC15" i="8"/>
  <c r="BI14" i="8" s="1"/>
  <c r="BC19" i="8"/>
  <c r="BI18" i="8" s="1"/>
  <c r="BC23" i="8"/>
  <c r="BI22" i="8" s="1"/>
  <c r="BC27" i="8"/>
  <c r="BI26" i="8" s="1"/>
  <c r="BC31" i="8"/>
  <c r="BI30" i="8" s="1"/>
  <c r="BC35" i="8"/>
  <c r="BI34" i="8" s="1"/>
  <c r="BC39" i="8"/>
  <c r="BI38" i="8" s="1"/>
  <c r="BC43" i="8"/>
  <c r="BI42" i="8" s="1"/>
  <c r="BC47" i="8"/>
  <c r="BI46" i="8" s="1"/>
  <c r="BC51" i="8"/>
  <c r="BI50" i="8" s="1"/>
  <c r="BC55" i="8"/>
  <c r="BI54" i="8" s="1"/>
  <c r="BC59" i="8"/>
  <c r="BI58" i="8" s="1"/>
  <c r="BC63" i="8"/>
  <c r="BI62" i="8" s="1"/>
  <c r="BC67" i="8"/>
  <c r="BI66" i="8" s="1"/>
  <c r="BC71" i="8"/>
  <c r="BI70" i="8" s="1"/>
  <c r="BC75" i="8"/>
  <c r="BI74" i="8" s="1"/>
  <c r="BC79" i="8"/>
  <c r="BI78" i="8" s="1"/>
  <c r="BC83" i="8"/>
  <c r="BI82" i="8" s="1"/>
  <c r="BC87" i="8"/>
  <c r="BI86" i="8" s="1"/>
  <c r="BC91" i="8"/>
  <c r="BI90" i="8" s="1"/>
  <c r="BC95" i="8"/>
  <c r="BI94" i="8" s="1"/>
  <c r="BC99" i="8"/>
  <c r="BI98" i="8" s="1"/>
  <c r="BC103" i="8"/>
  <c r="BI102" i="8" s="1"/>
  <c r="BC107" i="8"/>
  <c r="BI106" i="8" s="1"/>
  <c r="BC111" i="8"/>
  <c r="BI110" i="8" s="1"/>
  <c r="BC115" i="8"/>
  <c r="BI114" i="8" s="1"/>
  <c r="BC119" i="8"/>
  <c r="BI118" i="8" s="1"/>
  <c r="BC123" i="8"/>
  <c r="BI122" i="8" s="1"/>
  <c r="BC127" i="8"/>
  <c r="BI126" i="8" s="1"/>
  <c r="BC131" i="8"/>
  <c r="BI130" i="8" s="1"/>
  <c r="BC135" i="8"/>
  <c r="BI134" i="8" s="1"/>
  <c r="BC139" i="8"/>
  <c r="BI138" i="8" s="1"/>
  <c r="BC143" i="8"/>
  <c r="BI142" i="8" s="1"/>
  <c r="BC147" i="8"/>
  <c r="BI146" i="8" s="1"/>
  <c r="BC151" i="8"/>
  <c r="BI150" i="8" s="1"/>
  <c r="BC155" i="8"/>
  <c r="BI154" i="8" s="1"/>
  <c r="BC159" i="8"/>
  <c r="BI158" i="8" s="1"/>
  <c r="BC163" i="8"/>
  <c r="BI162" i="8" s="1"/>
  <c r="BC167" i="8"/>
  <c r="BI166" i="8" s="1"/>
  <c r="BC171" i="8"/>
  <c r="BI170" i="8" s="1"/>
  <c r="BC175" i="8"/>
  <c r="BI174" i="8" s="1"/>
  <c r="BC179" i="8"/>
  <c r="BI178" i="8" s="1"/>
  <c r="BC183" i="8"/>
  <c r="BI182" i="8" s="1"/>
  <c r="BC187" i="8"/>
  <c r="BI186" i="8" s="1"/>
  <c r="BC191" i="8"/>
  <c r="BI190" i="8" s="1"/>
  <c r="BC195" i="8"/>
  <c r="BI194" i="8" s="1"/>
  <c r="BC199" i="8"/>
  <c r="BI198" i="8" s="1"/>
  <c r="BC203" i="8"/>
  <c r="BI202" i="8" s="1"/>
  <c r="BC207" i="8"/>
  <c r="BI206" i="8" s="1"/>
  <c r="BC211" i="8"/>
  <c r="BI210" i="8" s="1"/>
  <c r="BC215" i="8"/>
  <c r="BI214" i="8" s="1"/>
  <c r="BC219" i="8"/>
  <c r="BI218" i="8" s="1"/>
  <c r="BC223" i="8"/>
  <c r="BI222" i="8" s="1"/>
  <c r="BC227" i="8"/>
  <c r="BI226" i="8" s="1"/>
  <c r="BC231" i="8"/>
  <c r="BI230" i="8" s="1"/>
  <c r="BC235" i="8"/>
  <c r="BI234" i="8" s="1"/>
  <c r="BC239" i="8"/>
  <c r="BI238" i="8" s="1"/>
  <c r="BC243" i="8"/>
  <c r="BI242" i="8" s="1"/>
  <c r="BC247" i="8"/>
  <c r="BI246" i="8" s="1"/>
  <c r="BC5" i="8"/>
  <c r="BC9" i="8"/>
  <c r="BC13" i="8"/>
  <c r="BC21" i="8"/>
  <c r="BC25" i="8"/>
  <c r="BC45" i="8"/>
  <c r="BC61" i="8"/>
  <c r="BC73" i="8"/>
  <c r="BC77" i="8"/>
  <c r="BC89" i="8"/>
  <c r="BC105" i="8"/>
  <c r="BC121" i="8"/>
  <c r="BC133" i="8"/>
  <c r="BC145" i="8"/>
  <c r="BC153" i="8"/>
  <c r="BC169" i="8"/>
  <c r="BC177" i="8"/>
  <c r="BC189" i="8"/>
  <c r="BC201" i="8"/>
  <c r="BC209" i="8"/>
  <c r="BC221" i="8"/>
  <c r="BC8" i="8"/>
  <c r="BI7" i="8" s="1"/>
  <c r="BC12" i="8"/>
  <c r="BI11" i="8" s="1"/>
  <c r="BC16" i="8"/>
  <c r="BC20" i="8"/>
  <c r="BC24" i="8"/>
  <c r="BI23" i="8" s="1"/>
  <c r="BC28" i="8"/>
  <c r="BI27" i="8" s="1"/>
  <c r="BC32" i="8"/>
  <c r="BC36" i="8"/>
  <c r="BC40" i="8"/>
  <c r="BI39" i="8" s="1"/>
  <c r="BC44" i="8"/>
  <c r="BI43" i="8" s="1"/>
  <c r="BC48" i="8"/>
  <c r="BC52" i="8"/>
  <c r="BC56" i="8"/>
  <c r="BI55" i="8" s="1"/>
  <c r="BC60" i="8"/>
  <c r="BI59" i="8" s="1"/>
  <c r="BC64" i="8"/>
  <c r="BC68" i="8"/>
  <c r="BC72" i="8"/>
  <c r="BI71" i="8" s="1"/>
  <c r="BC76" i="8"/>
  <c r="BI75" i="8" s="1"/>
  <c r="BC80" i="8"/>
  <c r="BC84" i="8"/>
  <c r="BC88" i="8"/>
  <c r="BI87" i="8" s="1"/>
  <c r="BC92" i="8"/>
  <c r="BI91" i="8" s="1"/>
  <c r="BC96" i="8"/>
  <c r="BC100" i="8"/>
  <c r="BC104" i="8"/>
  <c r="BI103" i="8" s="1"/>
  <c r="BC108" i="8"/>
  <c r="BI107" i="8" s="1"/>
  <c r="BC112" i="8"/>
  <c r="BC116" i="8"/>
  <c r="BC120" i="8"/>
  <c r="BI119" i="8" s="1"/>
  <c r="BC124" i="8"/>
  <c r="BI123" i="8" s="1"/>
  <c r="BC128" i="8"/>
  <c r="BC132" i="8"/>
  <c r="BC136" i="8"/>
  <c r="BI135" i="8" s="1"/>
  <c r="BC140" i="8"/>
  <c r="BI139" i="8" s="1"/>
  <c r="BC144" i="8"/>
  <c r="BC148" i="8"/>
  <c r="BC152" i="8"/>
  <c r="BI151" i="8" s="1"/>
  <c r="BC156" i="8"/>
  <c r="BI155" i="8" s="1"/>
  <c r="BC160" i="8"/>
  <c r="BC164" i="8"/>
  <c r="BC168" i="8"/>
  <c r="BI167" i="8" s="1"/>
  <c r="BC172" i="8"/>
  <c r="BI171" i="8" s="1"/>
  <c r="BC176" i="8"/>
  <c r="BC180" i="8"/>
  <c r="BC184" i="8"/>
  <c r="BI183" i="8" s="1"/>
  <c r="BC188" i="8"/>
  <c r="BI187" i="8" s="1"/>
  <c r="BC192" i="8"/>
  <c r="BC196" i="8"/>
  <c r="BC200" i="8"/>
  <c r="BI199" i="8" s="1"/>
  <c r="BC204" i="8"/>
  <c r="BI203" i="8" s="1"/>
  <c r="BC208" i="8"/>
  <c r="BC212" i="8"/>
  <c r="BC216" i="8"/>
  <c r="BI215" i="8" s="1"/>
  <c r="BC220" i="8"/>
  <c r="BI219" i="8" s="1"/>
  <c r="BC224" i="8"/>
  <c r="BC228" i="8"/>
  <c r="BC232" i="8"/>
  <c r="BI231" i="8" s="1"/>
  <c r="BC236" i="8"/>
  <c r="BI235" i="8" s="1"/>
  <c r="BC240" i="8"/>
  <c r="BC244" i="8"/>
  <c r="BC248" i="8"/>
  <c r="BI247" i="8" s="1"/>
  <c r="BC29" i="8"/>
  <c r="BI28" i="8" s="1"/>
  <c r="BC41" i="8"/>
  <c r="BC57" i="8"/>
  <c r="BC69" i="8"/>
  <c r="BI68" i="8" s="1"/>
  <c r="BC81" i="8"/>
  <c r="BI80" i="8" s="1"/>
  <c r="BC93" i="8"/>
  <c r="BC101" i="8"/>
  <c r="BI100" i="8" s="1"/>
  <c r="BC113" i="8"/>
  <c r="BI112" i="8" s="1"/>
  <c r="BC129" i="8"/>
  <c r="BI128" i="8" s="1"/>
  <c r="BC141" i="8"/>
  <c r="BC157" i="8"/>
  <c r="BC165" i="8"/>
  <c r="BI164" i="8" s="1"/>
  <c r="BC173" i="8"/>
  <c r="BI172" i="8" s="1"/>
  <c r="BC185" i="8"/>
  <c r="BC197" i="8"/>
  <c r="BI196" i="8" s="1"/>
  <c r="BC205" i="8"/>
  <c r="BC217" i="8"/>
  <c r="BC229" i="8"/>
  <c r="BC245" i="8"/>
  <c r="BI244" i="8" s="1"/>
  <c r="BC233" i="8"/>
  <c r="BI232" i="8" s="1"/>
  <c r="BC249" i="8"/>
  <c r="BC241" i="8"/>
  <c r="BI240" i="8" s="1"/>
  <c r="BC237" i="8"/>
  <c r="AW11" i="8"/>
  <c r="BI228" i="8" l="1"/>
  <c r="BI184" i="8"/>
  <c r="BI40" i="8"/>
  <c r="BI239" i="8"/>
  <c r="BI223" i="8"/>
  <c r="BI207" i="8"/>
  <c r="BI191" i="8"/>
  <c r="BI175" i="8"/>
  <c r="BI159" i="8"/>
  <c r="BI143" i="8"/>
  <c r="BI127" i="8"/>
  <c r="BI111" i="8"/>
  <c r="BI95" i="8"/>
  <c r="BI79" i="8"/>
  <c r="BI63" i="8"/>
  <c r="BI47" i="8"/>
  <c r="BI31" i="8"/>
  <c r="BI15" i="8"/>
  <c r="BI20" i="8"/>
  <c r="BI248" i="8"/>
  <c r="BI216" i="8"/>
  <c r="BI200" i="8"/>
  <c r="BI152" i="8"/>
  <c r="BI104" i="8"/>
  <c r="BI116" i="8"/>
  <c r="BI193" i="8"/>
  <c r="BI177" i="8"/>
  <c r="BI97" i="8"/>
  <c r="BI49" i="8"/>
  <c r="BI144" i="8"/>
  <c r="BI44" i="8"/>
  <c r="BI236" i="8"/>
  <c r="BI156" i="8"/>
  <c r="BI56" i="8"/>
  <c r="BI243" i="8"/>
  <c r="BI227" i="8"/>
  <c r="BI211" i="8"/>
  <c r="BI195" i="8"/>
  <c r="BI179" i="8"/>
  <c r="BI163" i="8"/>
  <c r="BI147" i="8"/>
  <c r="BI131" i="8"/>
  <c r="BI115" i="8"/>
  <c r="BI99" i="8"/>
  <c r="BI83" i="8"/>
  <c r="BI67" i="8"/>
  <c r="BI51" i="8"/>
  <c r="BI35" i="8"/>
  <c r="BI19" i="8"/>
  <c r="BI220" i="8"/>
  <c r="BI176" i="8"/>
  <c r="BI132" i="8"/>
  <c r="BI76" i="8"/>
  <c r="BI24" i="8"/>
  <c r="BI192" i="8"/>
  <c r="BI136" i="8"/>
  <c r="BI96" i="8"/>
  <c r="BI48" i="8"/>
  <c r="BI249" i="8"/>
  <c r="BI233" i="8"/>
  <c r="BI217" i="8"/>
  <c r="BI201" i="8"/>
  <c r="BI185" i="8"/>
  <c r="BI169" i="8"/>
  <c r="BI153" i="8"/>
  <c r="BI137" i="8"/>
  <c r="BI121" i="8"/>
  <c r="BI105" i="8"/>
  <c r="BI89" i="8"/>
  <c r="BI73" i="8"/>
  <c r="BI57" i="8"/>
  <c r="BI41" i="8"/>
  <c r="BI25" i="8"/>
  <c r="BI9" i="8"/>
  <c r="BI140" i="8"/>
  <c r="BI92" i="8"/>
  <c r="BI208" i="8"/>
  <c r="BI168" i="8"/>
  <c r="BI120" i="8"/>
  <c r="BI72" i="8"/>
  <c r="BI180" i="8"/>
  <c r="BI124" i="8"/>
  <c r="BI84" i="8"/>
  <c r="BI36" i="8"/>
  <c r="BI245" i="8"/>
  <c r="BI229" i="8"/>
  <c r="BI213" i="8"/>
  <c r="BI197" i="8"/>
  <c r="BI181" i="8"/>
  <c r="BI165" i="8"/>
  <c r="BI149" i="8"/>
  <c r="BI133" i="8"/>
  <c r="BI117" i="8"/>
  <c r="BI101" i="8"/>
  <c r="BI85" i="8"/>
  <c r="BI69" i="8"/>
  <c r="BI53" i="8"/>
  <c r="BI37" i="8"/>
  <c r="BI21" i="8"/>
  <c r="BI5" i="8"/>
  <c r="BI60" i="8"/>
  <c r="BI12" i="8"/>
  <c r="BI224" i="8"/>
  <c r="BI160" i="8"/>
  <c r="BI64" i="8"/>
  <c r="BI32" i="8"/>
  <c r="BI241" i="8"/>
  <c r="BI225" i="8"/>
  <c r="BI209" i="8"/>
  <c r="BI161" i="8"/>
  <c r="BI145" i="8"/>
  <c r="BI129" i="8"/>
  <c r="BI113" i="8"/>
  <c r="BI81" i="8"/>
  <c r="BI65" i="8"/>
  <c r="BI33" i="8"/>
  <c r="BI17" i="8"/>
  <c r="BI204" i="8"/>
  <c r="BI188" i="8"/>
  <c r="BI88" i="8"/>
  <c r="BI8" i="8"/>
  <c r="BI212" i="8"/>
  <c r="BI148" i="8"/>
  <c r="BI108" i="8"/>
  <c r="BI16" i="8"/>
  <c r="BI237" i="8"/>
  <c r="BI205" i="8"/>
  <c r="BI189" i="8"/>
  <c r="BI173" i="8"/>
  <c r="BI157" i="8"/>
  <c r="BI141" i="8"/>
  <c r="BI109" i="8"/>
  <c r="BI93" i="8"/>
  <c r="BI77" i="8"/>
  <c r="BI61" i="8"/>
  <c r="BI45" i="8"/>
  <c r="BI29" i="8"/>
  <c r="BI13" i="8"/>
  <c r="BC4" i="8"/>
  <c r="BC3" i="8"/>
  <c r="BC2" i="8"/>
</calcChain>
</file>

<file path=xl/sharedStrings.xml><?xml version="1.0" encoding="utf-8"?>
<sst xmlns="http://schemas.openxmlformats.org/spreadsheetml/2006/main" count="770" uniqueCount="303">
  <si>
    <t>Price</t>
  </si>
  <si>
    <t>Return</t>
  </si>
  <si>
    <t>EWS</t>
  </si>
  <si>
    <t>Time</t>
  </si>
  <si>
    <t>Total</t>
  </si>
  <si>
    <t>Gain</t>
  </si>
  <si>
    <t>2018/11/30</t>
  </si>
  <si>
    <t>price</t>
  </si>
  <si>
    <t>SD</t>
  </si>
  <si>
    <t>2018/12/03</t>
  </si>
  <si>
    <t>weight</t>
  </si>
  <si>
    <t>2018/12/04</t>
  </si>
  <si>
    <t>2018/12/05</t>
  </si>
  <si>
    <t>2018/12/06</t>
  </si>
  <si>
    <t>2018/12/07</t>
  </si>
  <si>
    <t>2018/12/10</t>
  </si>
  <si>
    <t>2018/12/11</t>
  </si>
  <si>
    <t>2018/12/12</t>
  </si>
  <si>
    <t>2018/12/13</t>
  </si>
  <si>
    <t>2018/12/14</t>
  </si>
  <si>
    <t>2018/12/17</t>
  </si>
  <si>
    <t>Eigenvalue</t>
  </si>
  <si>
    <t>2018/12/18</t>
  </si>
  <si>
    <t>2018/12/19</t>
  </si>
  <si>
    <t>2018/12/20</t>
  </si>
  <si>
    <t>2018/12/21</t>
  </si>
  <si>
    <t>2018/12/24</t>
  </si>
  <si>
    <t>2018/12/27</t>
  </si>
  <si>
    <t>2018/12/28</t>
  </si>
  <si>
    <t>2018/12/31</t>
  </si>
  <si>
    <t>2019/01/02</t>
  </si>
  <si>
    <t>2019/01/03</t>
  </si>
  <si>
    <t>2019/01/04</t>
  </si>
  <si>
    <t>2019/01/07</t>
  </si>
  <si>
    <t>2019/01/08</t>
  </si>
  <si>
    <t>2019/01/09</t>
  </si>
  <si>
    <t>2019/01/10</t>
  </si>
  <si>
    <t>2019/01/11</t>
  </si>
  <si>
    <t>2019/01/14</t>
  </si>
  <si>
    <t>2019/01/15</t>
  </si>
  <si>
    <t>2019/01/16</t>
  </si>
  <si>
    <t>2019/01/17</t>
  </si>
  <si>
    <t>2019/01/18</t>
  </si>
  <si>
    <t>2019/01/21</t>
  </si>
  <si>
    <t>2019/01/22</t>
  </si>
  <si>
    <t>2019/01/23</t>
  </si>
  <si>
    <t>2019/01/24</t>
  </si>
  <si>
    <t>2019/01/25</t>
  </si>
  <si>
    <t>2019/01/28</t>
  </si>
  <si>
    <t>2019/01/29</t>
  </si>
  <si>
    <t>2019/01/30</t>
  </si>
  <si>
    <t>2019/01/31</t>
  </si>
  <si>
    <t>2019/02/01</t>
  </si>
  <si>
    <t>2019/02/04</t>
  </si>
  <si>
    <t>2019/02/08</t>
  </si>
  <si>
    <t>2019/02/11</t>
  </si>
  <si>
    <t>2019/02/12</t>
  </si>
  <si>
    <t>2019/02/13</t>
  </si>
  <si>
    <t>2019/02/14</t>
  </si>
  <si>
    <t>2019/02/15</t>
  </si>
  <si>
    <t>2019/02/18</t>
  </si>
  <si>
    <t>2019/02/19</t>
  </si>
  <si>
    <t>2019/02/20</t>
  </si>
  <si>
    <t>2019/02/21</t>
  </si>
  <si>
    <t>2019/02/22</t>
  </si>
  <si>
    <t>2019/02/25</t>
  </si>
  <si>
    <t>2019/02/26</t>
  </si>
  <si>
    <t>2019/02/27</t>
  </si>
  <si>
    <t>2019/02/28</t>
  </si>
  <si>
    <t>2019/03/01</t>
  </si>
  <si>
    <t>2019/03/04</t>
  </si>
  <si>
    <t>2019/03/05</t>
  </si>
  <si>
    <t>2019/03/06</t>
  </si>
  <si>
    <t>2019/03/07</t>
  </si>
  <si>
    <t>2019/03/08</t>
  </si>
  <si>
    <t>2019/03/11</t>
  </si>
  <si>
    <t>2019/03/12</t>
  </si>
  <si>
    <t>2019/03/13</t>
  </si>
  <si>
    <t>2019/03/14</t>
  </si>
  <si>
    <t>2019/03/15</t>
  </si>
  <si>
    <t>2019/03/18</t>
  </si>
  <si>
    <t>2019/03/19</t>
  </si>
  <si>
    <t>2019/03/20</t>
  </si>
  <si>
    <t>2019/03/21</t>
  </si>
  <si>
    <t>2019/03/22</t>
  </si>
  <si>
    <t>2019/03/25</t>
  </si>
  <si>
    <t>2019/03/26</t>
  </si>
  <si>
    <t>2019/03/27</t>
  </si>
  <si>
    <t>2019/03/28</t>
  </si>
  <si>
    <t>2019/03/29</t>
  </si>
  <si>
    <t>2019/04/01</t>
  </si>
  <si>
    <t>2019/04/02</t>
  </si>
  <si>
    <t>2019/04/03</t>
  </si>
  <si>
    <t>2019/04/04</t>
  </si>
  <si>
    <t>2019/04/08</t>
  </si>
  <si>
    <t>2019/04/09</t>
  </si>
  <si>
    <t>2019/04/10</t>
  </si>
  <si>
    <t>2019/04/11</t>
  </si>
  <si>
    <t>2019/04/12</t>
  </si>
  <si>
    <t>2019/04/15</t>
  </si>
  <si>
    <t>2019/04/16</t>
  </si>
  <si>
    <t>2019/04/17</t>
  </si>
  <si>
    <t>2019/04/18</t>
  </si>
  <si>
    <t>2019/04/23</t>
  </si>
  <si>
    <t>2019/04/24</t>
  </si>
  <si>
    <t>2019/04/25</t>
  </si>
  <si>
    <t>2019/04/26</t>
  </si>
  <si>
    <t>2019/04/29</t>
  </si>
  <si>
    <t>2019/04/30</t>
  </si>
  <si>
    <t>2019/05/02</t>
  </si>
  <si>
    <t>2019/05/03</t>
  </si>
  <si>
    <t>2019/05/06</t>
  </si>
  <si>
    <t>2019/05/07</t>
  </si>
  <si>
    <t>2019/05/08</t>
  </si>
  <si>
    <t>2019/05/09</t>
  </si>
  <si>
    <t>2019/05/10</t>
  </si>
  <si>
    <t>2019/05/14</t>
  </si>
  <si>
    <t>2019/05/15</t>
  </si>
  <si>
    <t>2019/05/16</t>
  </si>
  <si>
    <t>2019/05/17</t>
  </si>
  <si>
    <t>2019/05/20</t>
  </si>
  <si>
    <t>2019/05/21</t>
  </si>
  <si>
    <t>2019/05/22</t>
  </si>
  <si>
    <t>2019/05/23</t>
  </si>
  <si>
    <t>2019/05/24</t>
  </si>
  <si>
    <t>2019/05/27</t>
  </si>
  <si>
    <t>2019/05/28</t>
  </si>
  <si>
    <t>2019/05/29</t>
  </si>
  <si>
    <t>2019/05/30</t>
  </si>
  <si>
    <t>2019/05/31</t>
  </si>
  <si>
    <t>2019/06/03</t>
  </si>
  <si>
    <t>2019/06/04</t>
  </si>
  <si>
    <t>2019/06/05</t>
  </si>
  <si>
    <t>2019/06/06</t>
  </si>
  <si>
    <t>2019/06/10</t>
  </si>
  <si>
    <t>2019/06/11</t>
  </si>
  <si>
    <t>2019/06/12</t>
  </si>
  <si>
    <t>2019/06/13</t>
  </si>
  <si>
    <t>2019/06/14</t>
  </si>
  <si>
    <t>2019/06/17</t>
  </si>
  <si>
    <t>2019/06/18</t>
  </si>
  <si>
    <t>2019/06/19</t>
  </si>
  <si>
    <t>2019/06/20</t>
  </si>
  <si>
    <t>2019/06/21</t>
  </si>
  <si>
    <t>2019/06/24</t>
  </si>
  <si>
    <t>2019/06/25</t>
  </si>
  <si>
    <t>2019/06/26</t>
  </si>
  <si>
    <t>2019/06/27</t>
  </si>
  <si>
    <t>2019/06/28</t>
  </si>
  <si>
    <t>2019/07/02</t>
  </si>
  <si>
    <t>2019/07/03</t>
  </si>
  <si>
    <t>2019/07/04</t>
  </si>
  <si>
    <t>2019/07/05</t>
  </si>
  <si>
    <t>2019/07/08</t>
  </si>
  <si>
    <t>2019/07/09</t>
  </si>
  <si>
    <t>2019/07/10</t>
  </si>
  <si>
    <t>2019/07/11</t>
  </si>
  <si>
    <t>2019/07/12</t>
  </si>
  <si>
    <t>2019/07/15</t>
  </si>
  <si>
    <t>2019/07/16</t>
  </si>
  <si>
    <t>2019/07/17</t>
  </si>
  <si>
    <t>2019/07/18</t>
  </si>
  <si>
    <t>2019/07/19</t>
  </si>
  <si>
    <t>2019/07/22</t>
  </si>
  <si>
    <t>2019/07/23</t>
  </si>
  <si>
    <t>2019/07/24</t>
  </si>
  <si>
    <t>2019/07/25</t>
  </si>
  <si>
    <t>2019/07/26</t>
  </si>
  <si>
    <t>2019/07/29</t>
  </si>
  <si>
    <t>2019/07/30</t>
  </si>
  <si>
    <t>2019/07/31</t>
  </si>
  <si>
    <t>2019/08/01</t>
  </si>
  <si>
    <t>2019/08/02</t>
  </si>
  <si>
    <t>2019/08/05</t>
  </si>
  <si>
    <t>2019/08/06</t>
  </si>
  <si>
    <t>2019/08/07</t>
  </si>
  <si>
    <t>2019/08/08</t>
  </si>
  <si>
    <t>2019/08/09</t>
  </si>
  <si>
    <t>2019/08/12</t>
  </si>
  <si>
    <t>2019/08/13</t>
  </si>
  <si>
    <t>2019/08/14</t>
  </si>
  <si>
    <t>2019/08/15</t>
  </si>
  <si>
    <t>2019/08/16</t>
  </si>
  <si>
    <t>2019/08/19</t>
  </si>
  <si>
    <t>2019/08/20</t>
  </si>
  <si>
    <t>2019/08/21</t>
  </si>
  <si>
    <t>2019/08/22</t>
  </si>
  <si>
    <t>2019/08/23</t>
  </si>
  <si>
    <t>2019/08/26</t>
  </si>
  <si>
    <t>2019/08/27</t>
  </si>
  <si>
    <t>2019/08/28</t>
  </si>
  <si>
    <t>2019/08/29</t>
  </si>
  <si>
    <t>2019/08/30</t>
  </si>
  <si>
    <t>2019/09/02</t>
  </si>
  <si>
    <t>2019/09/03</t>
  </si>
  <si>
    <t>2019/09/04</t>
  </si>
  <si>
    <t>2019/09/05</t>
  </si>
  <si>
    <t>2019/09/06</t>
  </si>
  <si>
    <t>2019/09/09</t>
  </si>
  <si>
    <t>2019/09/10</t>
  </si>
  <si>
    <t>2019/09/11</t>
  </si>
  <si>
    <t>2019/09/12</t>
  </si>
  <si>
    <t>2019/09/13</t>
  </si>
  <si>
    <t>2019/09/16</t>
  </si>
  <si>
    <t>2019/09/17</t>
  </si>
  <si>
    <t>2019/09/18</t>
  </si>
  <si>
    <t>2019/09/19</t>
  </si>
  <si>
    <t>2019/09/20</t>
  </si>
  <si>
    <t>2019/09/23</t>
  </si>
  <si>
    <t>2019/09/24</t>
  </si>
  <si>
    <t>2019/09/25</t>
  </si>
  <si>
    <t>2019/09/26</t>
  </si>
  <si>
    <t>2019/09/27</t>
  </si>
  <si>
    <t>2019/09/30</t>
  </si>
  <si>
    <t>2019/10/02</t>
  </si>
  <si>
    <t>2019/10/03</t>
  </si>
  <si>
    <t>2019/10/04</t>
  </si>
  <si>
    <t>2019/10/08</t>
  </si>
  <si>
    <t>2019/10/09</t>
  </si>
  <si>
    <t>2019/10/10</t>
  </si>
  <si>
    <t>2019/10/11</t>
  </si>
  <si>
    <t>2019/10/14</t>
  </si>
  <si>
    <t>2019/10/15</t>
  </si>
  <si>
    <t>2019/10/16</t>
  </si>
  <si>
    <t>2019/10/17</t>
  </si>
  <si>
    <t>2019/10/18</t>
  </si>
  <si>
    <t>2019/10/21</t>
  </si>
  <si>
    <t>2019/10/22</t>
  </si>
  <si>
    <t>2019/10/23</t>
  </si>
  <si>
    <t>2019/10/24</t>
  </si>
  <si>
    <t>2019/10/25</t>
  </si>
  <si>
    <t>2019/10/28</t>
  </si>
  <si>
    <t>2019/10/29</t>
  </si>
  <si>
    <t>2019/10/30</t>
  </si>
  <si>
    <t>2019/10/31</t>
  </si>
  <si>
    <t>2019/11/01</t>
  </si>
  <si>
    <t>2019/11/04</t>
  </si>
  <si>
    <t>2019/11/05</t>
  </si>
  <si>
    <t>2019/11/06</t>
  </si>
  <si>
    <t>2019/11/07</t>
  </si>
  <si>
    <t>2019/11/08</t>
  </si>
  <si>
    <t>2019/11/11</t>
  </si>
  <si>
    <t>2019/11/12</t>
  </si>
  <si>
    <t>2019/11/13</t>
  </si>
  <si>
    <t>2019/11/14</t>
  </si>
  <si>
    <t>2019/11/15</t>
  </si>
  <si>
    <t>2019/11/18</t>
  </si>
  <si>
    <t>2019/11/19</t>
  </si>
  <si>
    <t>2019/11/20</t>
  </si>
  <si>
    <t>2019/11/21</t>
  </si>
  <si>
    <t>2019/11/22</t>
  </si>
  <si>
    <t>2019/11/25</t>
  </si>
  <si>
    <t>2019/11/26</t>
  </si>
  <si>
    <t>2019/11/27</t>
  </si>
  <si>
    <t>2019/11/28</t>
  </si>
  <si>
    <t>2019/11/29</t>
  </si>
  <si>
    <t>Eigenvector</t>
  </si>
  <si>
    <t>Eigenmode</t>
  </si>
  <si>
    <t>inverse</t>
  </si>
  <si>
    <t>Projection</t>
  </si>
  <si>
    <t>EWP</t>
  </si>
  <si>
    <t>volume</t>
  </si>
  <si>
    <t>0.1</t>
  </si>
  <si>
    <t>Sign-corrected eigenvectors</t>
  </si>
  <si>
    <t>Risk wt</t>
  </si>
  <si>
    <t>Eigenmodes sorted with decreasing magnitude of eigenvalues</t>
  </si>
  <si>
    <t>Cumulative variance</t>
  </si>
  <si>
    <t>First 4 modes are selected for 80% cumulative variance.</t>
  </si>
  <si>
    <t>HK0001</t>
  </si>
  <si>
    <t>HK0002</t>
  </si>
  <si>
    <t>HK0003</t>
  </si>
  <si>
    <t>HK0005</t>
  </si>
  <si>
    <t>HK0006</t>
  </si>
  <si>
    <t>HK0011</t>
  </si>
  <si>
    <t>HK0012</t>
  </si>
  <si>
    <t>HK0016</t>
  </si>
  <si>
    <t>HK0017</t>
  </si>
  <si>
    <t>HK0019</t>
  </si>
  <si>
    <t>Equal weight stock (EWS)</t>
  </si>
  <si>
    <t>Equal weight portfolio (EWP)</t>
  </si>
  <si>
    <t>Correlation</t>
  </si>
  <si>
    <t>Eigenvalues and eigenvectors copied from the matrix area</t>
  </si>
  <si>
    <t>Minimum</t>
  </si>
  <si>
    <t>equal wt</t>
  </si>
  <si>
    <t>stock wt</t>
  </si>
  <si>
    <t>Diversified risk parity (DRP)</t>
  </si>
  <si>
    <t>DRP</t>
  </si>
  <si>
    <t>長和</t>
  </si>
  <si>
    <t>中電控股</t>
  </si>
  <si>
    <t>香港中華煤氣</t>
  </si>
  <si>
    <t>滙豐控股</t>
  </si>
  <si>
    <t>電能實業</t>
  </si>
  <si>
    <t>恒生銀行</t>
  </si>
  <si>
    <t>恒基地產</t>
  </si>
  <si>
    <t>新鴻基地產</t>
  </si>
  <si>
    <t>新世界發展</t>
  </si>
  <si>
    <t>太古股份公司'A'</t>
  </si>
  <si>
    <t>^HSI</t>
  </si>
  <si>
    <t>beta</t>
  </si>
  <si>
    <t>HSI</t>
  </si>
  <si>
    <t>SD/mean</t>
  </si>
  <si>
    <t>Risk equity (RP)</t>
  </si>
  <si>
    <t>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</si>
</sst>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0"/>
      <name val="Arial"/>
    </font>
    <font>
      <sz val="10"/>
      <name val="Calibri"/>
      <family val="2"/>
      <scheme val="minor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0" borderId="0" xfId="0" applyNumberFormat="1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vertical="center"/>
    </xf>
    <xf numFmtId="0" fontId="1" fillId="7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14" fontId="1" fillId="0" borderId="0" xfId="0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99CCFF"/>
      <color rgb="FFFFCC99"/>
      <color rgb="FFCCFFCC"/>
      <color rgb="FFFFCCCC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PCA!$AA$55:$AJ$55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PCA!$AA$56:$AJ$56</c:f>
              <c:numCache>
                <c:formatCode>General</c:formatCode>
                <c:ptCount val="10"/>
                <c:pt idx="0">
                  <c:v>5.6509079706213985</c:v>
                </c:pt>
                <c:pt idx="1">
                  <c:v>0.88528836713731818</c:v>
                </c:pt>
                <c:pt idx="2">
                  <c:v>0.70518911404800388</c:v>
                </c:pt>
                <c:pt idx="3">
                  <c:v>0.63737071871490925</c:v>
                </c:pt>
                <c:pt idx="4">
                  <c:v>0.53714513275230236</c:v>
                </c:pt>
                <c:pt idx="5">
                  <c:v>0.47954106986702005</c:v>
                </c:pt>
                <c:pt idx="6">
                  <c:v>0.41156018710868636</c:v>
                </c:pt>
                <c:pt idx="7">
                  <c:v>0.28513398413949509</c:v>
                </c:pt>
                <c:pt idx="8">
                  <c:v>0.22168792986420222</c:v>
                </c:pt>
                <c:pt idx="9">
                  <c:v>0.18617552574666041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08-4F04-86A5-BC291E5B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256784"/>
        <c:axId val="503623624"/>
      </c:scatterChart>
      <c:valAx>
        <c:axId val="365256784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Eigenmode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23624"/>
        <c:crosses val="autoZero"/>
        <c:crossBetween val="midCat"/>
      </c:valAx>
      <c:valAx>
        <c:axId val="50362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5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2nd and 3rd principal components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PCA!$AK$57</c:f>
              <c:strCache>
                <c:ptCount val="1"/>
                <c:pt idx="0">
                  <c:v>長和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PCA!$AB$57</c:f>
              <c:numCache>
                <c:formatCode>General</c:formatCode>
                <c:ptCount val="1"/>
                <c:pt idx="0">
                  <c:v>-0.29379584576020928</c:v>
                </c:pt>
              </c:numCache>
            </c:numRef>
          </c:xVal>
          <c:yVal>
            <c:numRef>
              <c:f>PCA!$AC$57</c:f>
              <c:numCache>
                <c:formatCode>General</c:formatCode>
                <c:ptCount val="1"/>
                <c:pt idx="0">
                  <c:v>5.4543042181097449E-2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5-4F42-B93A-3D37FA36A011}"/>
            </c:ext>
          </c:extLst>
        </c:ser>
        <c:ser>
          <c:idx val="1"/>
          <c:order val="1"/>
          <c:tx>
            <c:strRef>
              <c:f>PCA!$AK$58</c:f>
              <c:strCache>
                <c:ptCount val="1"/>
                <c:pt idx="0">
                  <c:v>中電控股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PCA!$AB$58</c:f>
              <c:numCache>
                <c:formatCode>General</c:formatCode>
                <c:ptCount val="1"/>
                <c:pt idx="0">
                  <c:v>0.62604279763990445</c:v>
                </c:pt>
              </c:numCache>
            </c:numRef>
          </c:xVal>
          <c:yVal>
            <c:numRef>
              <c:f>PCA!$AC$58</c:f>
              <c:numCache>
                <c:formatCode>General</c:formatCode>
                <c:ptCount val="1"/>
                <c:pt idx="0">
                  <c:v>-8.5877739848753465E-2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55-4F42-B93A-3D37FA36A011}"/>
            </c:ext>
          </c:extLst>
        </c:ser>
        <c:ser>
          <c:idx val="2"/>
          <c:order val="2"/>
          <c:tx>
            <c:strRef>
              <c:f>PCA!$AK$59</c:f>
              <c:strCache>
                <c:ptCount val="1"/>
                <c:pt idx="0">
                  <c:v>香港中華煤氣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PCA!$AB$59</c:f>
              <c:numCache>
                <c:formatCode>General</c:formatCode>
                <c:ptCount val="1"/>
                <c:pt idx="0">
                  <c:v>0.55828605318847813</c:v>
                </c:pt>
              </c:numCache>
            </c:numRef>
          </c:xVal>
          <c:yVal>
            <c:numRef>
              <c:f>PCA!$AC$59</c:f>
              <c:numCache>
                <c:formatCode>General</c:formatCode>
                <c:ptCount val="1"/>
                <c:pt idx="0">
                  <c:v>-6.6216471030159776E-2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55-4F42-B93A-3D37FA36A011}"/>
            </c:ext>
          </c:extLst>
        </c:ser>
        <c:ser>
          <c:idx val="3"/>
          <c:order val="3"/>
          <c:tx>
            <c:strRef>
              <c:f>PCA!$AK$60</c:f>
              <c:strCache>
                <c:ptCount val="1"/>
                <c:pt idx="0">
                  <c:v>滙豐控股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PCA!$AB$60</c:f>
              <c:numCache>
                <c:formatCode>General</c:formatCode>
                <c:ptCount val="1"/>
                <c:pt idx="0">
                  <c:v>-0.11355579448402661</c:v>
                </c:pt>
              </c:numCache>
            </c:numRef>
          </c:xVal>
          <c:yVal>
            <c:numRef>
              <c:f>PCA!$AC$60</c:f>
              <c:numCache>
                <c:formatCode>General</c:formatCode>
                <c:ptCount val="1"/>
                <c:pt idx="0">
                  <c:v>0.6842174685245529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55-4F42-B93A-3D37FA36A011}"/>
            </c:ext>
          </c:extLst>
        </c:ser>
        <c:ser>
          <c:idx val="4"/>
          <c:order val="4"/>
          <c:tx>
            <c:strRef>
              <c:f>PCA!$AK$61</c:f>
              <c:strCache>
                <c:ptCount val="1"/>
                <c:pt idx="0">
                  <c:v>電能實業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PCA!$AB$61</c:f>
              <c:numCache>
                <c:formatCode>General</c:formatCode>
                <c:ptCount val="1"/>
                <c:pt idx="0">
                  <c:v>7.6836830057155185E-3</c:v>
                </c:pt>
              </c:numCache>
            </c:numRef>
          </c:xVal>
          <c:yVal>
            <c:numRef>
              <c:f>PCA!$AC$61</c:f>
              <c:numCache>
                <c:formatCode>General</c:formatCode>
                <c:ptCount val="1"/>
                <c:pt idx="0">
                  <c:v>-0.45075786111268101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55-4F42-B93A-3D37FA36A011}"/>
            </c:ext>
          </c:extLst>
        </c:ser>
        <c:ser>
          <c:idx val="5"/>
          <c:order val="5"/>
          <c:tx>
            <c:strRef>
              <c:f>PCA!$AK$62</c:f>
              <c:strCache>
                <c:ptCount val="1"/>
                <c:pt idx="0">
                  <c:v>恒生銀行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PCA!$AB$62</c:f>
              <c:numCache>
                <c:formatCode>General</c:formatCode>
                <c:ptCount val="1"/>
                <c:pt idx="0">
                  <c:v>0.12948964914049038</c:v>
                </c:pt>
              </c:numCache>
            </c:numRef>
          </c:xVal>
          <c:yVal>
            <c:numRef>
              <c:f>PCA!$AC$62</c:f>
              <c:numCache>
                <c:formatCode>General</c:formatCode>
                <c:ptCount val="1"/>
                <c:pt idx="0">
                  <c:v>0.44989424922149368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55-4F42-B93A-3D37FA36A011}"/>
            </c:ext>
          </c:extLst>
        </c:ser>
        <c:ser>
          <c:idx val="6"/>
          <c:order val="6"/>
          <c:tx>
            <c:strRef>
              <c:f>PCA!$AK$63</c:f>
              <c:strCache>
                <c:ptCount val="1"/>
                <c:pt idx="0">
                  <c:v>恒基地產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PCA!$AB$63</c:f>
              <c:numCache>
                <c:formatCode>General</c:formatCode>
                <c:ptCount val="1"/>
                <c:pt idx="0">
                  <c:v>-6.5273387846608161E-2</c:v>
                </c:pt>
              </c:numCache>
            </c:numRef>
          </c:xVal>
          <c:yVal>
            <c:numRef>
              <c:f>PCA!$AC$63</c:f>
              <c:numCache>
                <c:formatCode>General</c:formatCode>
                <c:ptCount val="1"/>
                <c:pt idx="0">
                  <c:v>-6.1686027597552137E-2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755-4F42-B93A-3D37FA36A011}"/>
            </c:ext>
          </c:extLst>
        </c:ser>
        <c:ser>
          <c:idx val="7"/>
          <c:order val="7"/>
          <c:tx>
            <c:strRef>
              <c:f>PCA!$AK$64</c:f>
              <c:strCache>
                <c:ptCount val="1"/>
                <c:pt idx="0">
                  <c:v>新鴻基地產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PCA!$AB$64</c:f>
              <c:numCache>
                <c:formatCode>General</c:formatCode>
                <c:ptCount val="1"/>
                <c:pt idx="0">
                  <c:v>-0.16778754565581402</c:v>
                </c:pt>
              </c:numCache>
            </c:numRef>
          </c:xVal>
          <c:yVal>
            <c:numRef>
              <c:f>PCA!$AC$64</c:f>
              <c:numCache>
                <c:formatCode>General</c:formatCode>
                <c:ptCount val="1"/>
                <c:pt idx="0">
                  <c:v>-0.16772172850664654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755-4F42-B93A-3D37FA36A011}"/>
            </c:ext>
          </c:extLst>
        </c:ser>
        <c:ser>
          <c:idx val="8"/>
          <c:order val="8"/>
          <c:tx>
            <c:strRef>
              <c:f>PCA!$AK$65</c:f>
              <c:strCache>
                <c:ptCount val="1"/>
                <c:pt idx="0">
                  <c:v>新世界發展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PCA!$AB$65</c:f>
              <c:numCache>
                <c:formatCode>General</c:formatCode>
                <c:ptCount val="1"/>
                <c:pt idx="0">
                  <c:v>-0.22227313792553774</c:v>
                </c:pt>
              </c:numCache>
            </c:numRef>
          </c:xVal>
          <c:yVal>
            <c:numRef>
              <c:f>PCA!$AC$65</c:f>
              <c:numCache>
                <c:formatCode>General</c:formatCode>
                <c:ptCount val="1"/>
                <c:pt idx="0">
                  <c:v>-0.24756342236273765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55-4F42-B93A-3D37FA36A011}"/>
            </c:ext>
          </c:extLst>
        </c:ser>
        <c:ser>
          <c:idx val="9"/>
          <c:order val="9"/>
          <c:tx>
            <c:strRef>
              <c:f>PCA!$AK$66</c:f>
              <c:strCache>
                <c:ptCount val="1"/>
                <c:pt idx="0">
                  <c:v>太古股份公司'A'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PCA!$AB$66</c:f>
              <c:numCache>
                <c:formatCode>General</c:formatCode>
                <c:ptCount val="1"/>
                <c:pt idx="0">
                  <c:v>-0.31389639881826931</c:v>
                </c:pt>
              </c:numCache>
            </c:numRef>
          </c:xVal>
          <c:yVal>
            <c:numRef>
              <c:f>PCA!$AC$66</c:f>
              <c:numCache>
                <c:formatCode>General</c:formatCode>
                <c:ptCount val="1"/>
                <c:pt idx="0">
                  <c:v>-0.13528129188782986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755-4F42-B93A-3D37FA36A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103904"/>
        <c:axId val="1224110976"/>
      </c:scatterChart>
      <c:valAx>
        <c:axId val="122410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110976"/>
        <c:crosses val="autoZero"/>
        <c:crossBetween val="midCat"/>
      </c:valAx>
      <c:valAx>
        <c:axId val="1224110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1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1st and 2nd principal components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PCA!$AK$57</c:f>
              <c:strCache>
                <c:ptCount val="1"/>
                <c:pt idx="0">
                  <c:v>長和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PCA!$AA$57</c:f>
              <c:numCache>
                <c:formatCode>General</c:formatCode>
                <c:ptCount val="1"/>
                <c:pt idx="0">
                  <c:v>0.30943176576903642</c:v>
                </c:pt>
              </c:numCache>
            </c:numRef>
          </c:xVal>
          <c:yVal>
            <c:numRef>
              <c:f>PCA!$AB$57</c:f>
              <c:numCache>
                <c:formatCode>General</c:formatCode>
                <c:ptCount val="1"/>
                <c:pt idx="0">
                  <c:v>-0.29379584576020928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FB-4B5A-8CC7-8E8F0A745A8F}"/>
            </c:ext>
          </c:extLst>
        </c:ser>
        <c:ser>
          <c:idx val="1"/>
          <c:order val="1"/>
          <c:tx>
            <c:strRef>
              <c:f>PCA!$AK$58</c:f>
              <c:strCache>
                <c:ptCount val="1"/>
                <c:pt idx="0">
                  <c:v>中電控股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PCA!$AA$58</c:f>
              <c:numCache>
                <c:formatCode>General</c:formatCode>
                <c:ptCount val="1"/>
                <c:pt idx="0">
                  <c:v>0.27238884516301004</c:v>
                </c:pt>
              </c:numCache>
            </c:numRef>
          </c:xVal>
          <c:yVal>
            <c:numRef>
              <c:f>PCA!$AB$58</c:f>
              <c:numCache>
                <c:formatCode>General</c:formatCode>
                <c:ptCount val="1"/>
                <c:pt idx="0">
                  <c:v>0.62604279763990445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B-4B5A-8CC7-8E8F0A745A8F}"/>
            </c:ext>
          </c:extLst>
        </c:ser>
        <c:ser>
          <c:idx val="2"/>
          <c:order val="2"/>
          <c:tx>
            <c:strRef>
              <c:f>PCA!$AK$59</c:f>
              <c:strCache>
                <c:ptCount val="1"/>
                <c:pt idx="0">
                  <c:v>香港中華煤氣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PCA!$AA$59</c:f>
              <c:numCache>
                <c:formatCode>General</c:formatCode>
                <c:ptCount val="1"/>
                <c:pt idx="0">
                  <c:v>0.28730271833153681</c:v>
                </c:pt>
              </c:numCache>
            </c:numRef>
          </c:xVal>
          <c:yVal>
            <c:numRef>
              <c:f>PCA!$AB$59</c:f>
              <c:numCache>
                <c:formatCode>General</c:formatCode>
                <c:ptCount val="1"/>
                <c:pt idx="0">
                  <c:v>0.55828605318847813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B-4B5A-8CC7-8E8F0A745A8F}"/>
            </c:ext>
          </c:extLst>
        </c:ser>
        <c:ser>
          <c:idx val="3"/>
          <c:order val="3"/>
          <c:tx>
            <c:strRef>
              <c:f>PCA!$AK$60</c:f>
              <c:strCache>
                <c:ptCount val="1"/>
                <c:pt idx="0">
                  <c:v>滙豐控股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PCA!$AA$60</c:f>
              <c:numCache>
                <c:formatCode>General</c:formatCode>
                <c:ptCount val="1"/>
                <c:pt idx="0">
                  <c:v>0.2989256097225354</c:v>
                </c:pt>
              </c:numCache>
            </c:numRef>
          </c:xVal>
          <c:yVal>
            <c:numRef>
              <c:f>PCA!$AB$60</c:f>
              <c:numCache>
                <c:formatCode>General</c:formatCode>
                <c:ptCount val="1"/>
                <c:pt idx="0">
                  <c:v>-0.11355579448402661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FB-4B5A-8CC7-8E8F0A745A8F}"/>
            </c:ext>
          </c:extLst>
        </c:ser>
        <c:ser>
          <c:idx val="4"/>
          <c:order val="4"/>
          <c:tx>
            <c:strRef>
              <c:f>PCA!$AK$61</c:f>
              <c:strCache>
                <c:ptCount val="1"/>
                <c:pt idx="0">
                  <c:v>電能實業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PCA!$AA$61</c:f>
              <c:numCache>
                <c:formatCode>General</c:formatCode>
                <c:ptCount val="1"/>
                <c:pt idx="0">
                  <c:v>0.27627927046943457</c:v>
                </c:pt>
              </c:numCache>
            </c:numRef>
          </c:xVal>
          <c:yVal>
            <c:numRef>
              <c:f>PCA!$AB$61</c:f>
              <c:numCache>
                <c:formatCode>General</c:formatCode>
                <c:ptCount val="1"/>
                <c:pt idx="0">
                  <c:v>7.6836830057155185E-3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FB-4B5A-8CC7-8E8F0A745A8F}"/>
            </c:ext>
          </c:extLst>
        </c:ser>
        <c:ser>
          <c:idx val="5"/>
          <c:order val="5"/>
          <c:tx>
            <c:strRef>
              <c:f>PCA!$AK$62</c:f>
              <c:strCache>
                <c:ptCount val="1"/>
                <c:pt idx="0">
                  <c:v>恒生銀行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PCA!$AA$62</c:f>
              <c:numCache>
                <c:formatCode>General</c:formatCode>
                <c:ptCount val="1"/>
                <c:pt idx="0">
                  <c:v>0.34187639488590671</c:v>
                </c:pt>
              </c:numCache>
            </c:numRef>
          </c:xVal>
          <c:yVal>
            <c:numRef>
              <c:f>PCA!$AB$62</c:f>
              <c:numCache>
                <c:formatCode>General</c:formatCode>
                <c:ptCount val="1"/>
                <c:pt idx="0">
                  <c:v>0.12948964914049038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FB-4B5A-8CC7-8E8F0A745A8F}"/>
            </c:ext>
          </c:extLst>
        </c:ser>
        <c:ser>
          <c:idx val="6"/>
          <c:order val="6"/>
          <c:tx>
            <c:strRef>
              <c:f>PCA!$AK$63</c:f>
              <c:strCache>
                <c:ptCount val="1"/>
                <c:pt idx="0">
                  <c:v>恒基地產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PCA!$AA$63</c:f>
              <c:numCache>
                <c:formatCode>General</c:formatCode>
                <c:ptCount val="1"/>
                <c:pt idx="0">
                  <c:v>0.35845327544528666</c:v>
                </c:pt>
              </c:numCache>
            </c:numRef>
          </c:xVal>
          <c:yVal>
            <c:numRef>
              <c:f>PCA!$AB$63</c:f>
              <c:numCache>
                <c:formatCode>General</c:formatCode>
                <c:ptCount val="1"/>
                <c:pt idx="0">
                  <c:v>-6.5273387846608161E-2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6FB-4B5A-8CC7-8E8F0A745A8F}"/>
            </c:ext>
          </c:extLst>
        </c:ser>
        <c:ser>
          <c:idx val="7"/>
          <c:order val="7"/>
          <c:tx>
            <c:strRef>
              <c:f>PCA!$AK$64</c:f>
              <c:strCache>
                <c:ptCount val="1"/>
                <c:pt idx="0">
                  <c:v>新鴻基地產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PCA!$AA$64</c:f>
              <c:numCache>
                <c:formatCode>General</c:formatCode>
                <c:ptCount val="1"/>
                <c:pt idx="0">
                  <c:v>0.36270764216794532</c:v>
                </c:pt>
              </c:numCache>
            </c:numRef>
          </c:xVal>
          <c:yVal>
            <c:numRef>
              <c:f>PCA!$AB$64</c:f>
              <c:numCache>
                <c:formatCode>General</c:formatCode>
                <c:ptCount val="1"/>
                <c:pt idx="0">
                  <c:v>-0.16778754565581402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6FB-4B5A-8CC7-8E8F0A745A8F}"/>
            </c:ext>
          </c:extLst>
        </c:ser>
        <c:ser>
          <c:idx val="8"/>
          <c:order val="8"/>
          <c:tx>
            <c:strRef>
              <c:f>PCA!$AK$65</c:f>
              <c:strCache>
                <c:ptCount val="1"/>
                <c:pt idx="0">
                  <c:v>新世界發展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PCA!$AA$65</c:f>
              <c:numCache>
                <c:formatCode>General</c:formatCode>
                <c:ptCount val="1"/>
                <c:pt idx="0">
                  <c:v>0.34806790525818582</c:v>
                </c:pt>
              </c:numCache>
            </c:numRef>
          </c:xVal>
          <c:yVal>
            <c:numRef>
              <c:f>PCA!$AB$65</c:f>
              <c:numCache>
                <c:formatCode>General</c:formatCode>
                <c:ptCount val="1"/>
                <c:pt idx="0">
                  <c:v>-0.22227313792553774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6FB-4B5A-8CC7-8E8F0A745A8F}"/>
            </c:ext>
          </c:extLst>
        </c:ser>
        <c:ser>
          <c:idx val="9"/>
          <c:order val="9"/>
          <c:tx>
            <c:strRef>
              <c:f>PCA!$AK$66</c:f>
              <c:strCache>
                <c:ptCount val="1"/>
                <c:pt idx="0">
                  <c:v>太古股份公司'A'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PCA!$AA$66</c:f>
              <c:numCache>
                <c:formatCode>General</c:formatCode>
                <c:ptCount val="1"/>
                <c:pt idx="0">
                  <c:v>0.28939656450712098</c:v>
                </c:pt>
              </c:numCache>
            </c:numRef>
          </c:xVal>
          <c:yVal>
            <c:numRef>
              <c:f>PCA!$AB$66</c:f>
              <c:numCache>
                <c:formatCode>General</c:formatCode>
                <c:ptCount val="1"/>
                <c:pt idx="0">
                  <c:v>-0.31389639881826931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6FB-4B5A-8CC7-8E8F0A745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103904"/>
        <c:axId val="1224110976"/>
      </c:scatterChart>
      <c:valAx>
        <c:axId val="1224103904"/>
        <c:scaling>
          <c:orientation val="minMax"/>
          <c:min val="0.2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110976"/>
        <c:crosses val="autoZero"/>
        <c:crossBetween val="midCat"/>
      </c:valAx>
      <c:valAx>
        <c:axId val="1224110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1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PCA!$BB$1</c:f>
              <c:strCache>
                <c:ptCount val="1"/>
                <c:pt idx="0">
                  <c:v>EWS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PCA!$BA$5:$BA$250</c:f>
              <c:numCache>
                <c:formatCode>General</c:formatCode>
                <c:ptCount val="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</c:numCache>
            </c:numRef>
          </c:xVal>
          <c:yVal>
            <c:numRef>
              <c:f>PCA!$BB$5:$BB$250</c:f>
              <c:numCache>
                <c:formatCode>General</c:formatCode>
                <c:ptCount val="246"/>
                <c:pt idx="0">
                  <c:v>0.99999999999999989</c:v>
                </c:pt>
                <c:pt idx="1">
                  <c:v>1.0110115289875348</c:v>
                </c:pt>
                <c:pt idx="2">
                  <c:v>1.0112516908292946</c:v>
                </c:pt>
                <c:pt idx="3">
                  <c:v>1.0007478643789423</c:v>
                </c:pt>
                <c:pt idx="4">
                  <c:v>0.99169381548106506</c:v>
                </c:pt>
                <c:pt idx="5">
                  <c:v>0.99274512455755293</c:v>
                </c:pt>
                <c:pt idx="6">
                  <c:v>0.97901885593476323</c:v>
                </c:pt>
                <c:pt idx="7">
                  <c:v>0.97787639874796328</c:v>
                </c:pt>
                <c:pt idx="8">
                  <c:v>0.9896108850805303</c:v>
                </c:pt>
                <c:pt idx="9">
                  <c:v>0.99984444990534793</c:v>
                </c:pt>
                <c:pt idx="10">
                  <c:v>0.997477167650895</c:v>
                </c:pt>
                <c:pt idx="11">
                  <c:v>1.0030172250992277</c:v>
                </c:pt>
                <c:pt idx="12">
                  <c:v>0.99782501052084005</c:v>
                </c:pt>
                <c:pt idx="13">
                  <c:v>0.99905401750428091</c:v>
                </c:pt>
                <c:pt idx="14">
                  <c:v>0.99128702473487673</c:v>
                </c:pt>
                <c:pt idx="15">
                  <c:v>0.98859636107189119</c:v>
                </c:pt>
                <c:pt idx="16">
                  <c:v>0.9927219826759055</c:v>
                </c:pt>
                <c:pt idx="17">
                  <c:v>0.98579143736210506</c:v>
                </c:pt>
                <c:pt idx="18">
                  <c:v>0.98053334270322634</c:v>
                </c:pt>
                <c:pt idx="19">
                  <c:v>0.98542963847978682</c:v>
                </c:pt>
                <c:pt idx="20">
                  <c:v>0.96794298877598384</c:v>
                </c:pt>
                <c:pt idx="21">
                  <c:v>0.96779899064807329</c:v>
                </c:pt>
                <c:pt idx="22">
                  <c:v>0.99332915722730397</c:v>
                </c:pt>
                <c:pt idx="23">
                  <c:v>1.0001986058441392</c:v>
                </c:pt>
                <c:pt idx="24">
                  <c:v>1.0111141626789697</c:v>
                </c:pt>
                <c:pt idx="25">
                  <c:v>1.0228294033858945</c:v>
                </c:pt>
                <c:pt idx="26">
                  <c:v>1.021017425470421</c:v>
                </c:pt>
                <c:pt idx="27">
                  <c:v>1.0281306440693179</c:v>
                </c:pt>
                <c:pt idx="28">
                  <c:v>1.0203389294483813</c:v>
                </c:pt>
                <c:pt idx="29">
                  <c:v>1.033772794697281</c:v>
                </c:pt>
                <c:pt idx="30">
                  <c:v>1.0371564984984758</c:v>
                </c:pt>
                <c:pt idx="31">
                  <c:v>1.0301240476184894</c:v>
                </c:pt>
                <c:pt idx="32">
                  <c:v>1.0389112569414427</c:v>
                </c:pt>
                <c:pt idx="33">
                  <c:v>1.0378723116600772</c:v>
                </c:pt>
                <c:pt idx="34">
                  <c:v>1.0346227363381471</c:v>
                </c:pt>
                <c:pt idx="35">
                  <c:v>1.0404977702792262</c:v>
                </c:pt>
                <c:pt idx="36">
                  <c:v>1.0486096832465128</c:v>
                </c:pt>
                <c:pt idx="37">
                  <c:v>1.0572150975996191</c:v>
                </c:pt>
                <c:pt idx="38">
                  <c:v>1.0497907222864513</c:v>
                </c:pt>
                <c:pt idx="39">
                  <c:v>1.0514481143536927</c:v>
                </c:pt>
                <c:pt idx="40">
                  <c:v>1.0568672542829132</c:v>
                </c:pt>
                <c:pt idx="41">
                  <c:v>1.0607174405699602</c:v>
                </c:pt>
                <c:pt idx="42">
                  <c:v>1.0574595612645057</c:v>
                </c:pt>
                <c:pt idx="43">
                  <c:v>1.0569241855962273</c:v>
                </c:pt>
                <c:pt idx="44">
                  <c:v>1.0623178105918285</c:v>
                </c:pt>
                <c:pt idx="45">
                  <c:v>1.0693538266399136</c:v>
                </c:pt>
                <c:pt idx="46">
                  <c:v>1.0721949853726598</c:v>
                </c:pt>
                <c:pt idx="47">
                  <c:v>1.082337555202374</c:v>
                </c:pt>
                <c:pt idx="48">
                  <c:v>1.0843922863877942</c:v>
                </c:pt>
                <c:pt idx="49">
                  <c:v>1.0724075786369125</c:v>
                </c:pt>
                <c:pt idx="50">
                  <c:v>1.0802726825197222</c:v>
                </c:pt>
                <c:pt idx="51">
                  <c:v>1.0810749878981714</c:v>
                </c:pt>
                <c:pt idx="52">
                  <c:v>1.0902500349811914</c:v>
                </c:pt>
                <c:pt idx="53">
                  <c:v>1.0946100318150775</c:v>
                </c:pt>
                <c:pt idx="54">
                  <c:v>1.099785383238423</c:v>
                </c:pt>
                <c:pt idx="55">
                  <c:v>1.0908649994853949</c:v>
                </c:pt>
                <c:pt idx="56">
                  <c:v>1.0862740635149102</c:v>
                </c:pt>
                <c:pt idx="57">
                  <c:v>1.0918216420599405</c:v>
                </c:pt>
                <c:pt idx="58">
                  <c:v>1.0857551232370415</c:v>
                </c:pt>
                <c:pt idx="59">
                  <c:v>1.0851654860042803</c:v>
                </c:pt>
                <c:pt idx="60">
                  <c:v>1.085197062817836</c:v>
                </c:pt>
                <c:pt idx="61">
                  <c:v>1.0764134680204029</c:v>
                </c:pt>
                <c:pt idx="62">
                  <c:v>1.0805322434064302</c:v>
                </c:pt>
                <c:pt idx="63">
                  <c:v>1.0807480495344972</c:v>
                </c:pt>
                <c:pt idx="64">
                  <c:v>1.0701684693823919</c:v>
                </c:pt>
                <c:pt idx="65">
                  <c:v>1.0724525091291164</c:v>
                </c:pt>
                <c:pt idx="66">
                  <c:v>1.080305893917415</c:v>
                </c:pt>
                <c:pt idx="67">
                  <c:v>1.0782777143874245</c:v>
                </c:pt>
                <c:pt idx="68">
                  <c:v>1.0788601300280625</c:v>
                </c:pt>
                <c:pt idx="69">
                  <c:v>1.0854974192046571</c:v>
                </c:pt>
                <c:pt idx="70">
                  <c:v>1.0924622367494299</c:v>
                </c:pt>
                <c:pt idx="71">
                  <c:v>1.0942629045295795</c:v>
                </c:pt>
                <c:pt idx="72">
                  <c:v>1.0936412489518823</c:v>
                </c:pt>
                <c:pt idx="73">
                  <c:v>1.0933078256132809</c:v>
                </c:pt>
                <c:pt idx="74">
                  <c:v>1.0965476884501424</c:v>
                </c:pt>
                <c:pt idx="75">
                  <c:v>1.0875230473177508</c:v>
                </c:pt>
                <c:pt idx="76">
                  <c:v>1.0919792624055735</c:v>
                </c:pt>
                <c:pt idx="77">
                  <c:v>1.0940270826080634</c:v>
                </c:pt>
                <c:pt idx="78">
                  <c:v>1.1036073761428806</c:v>
                </c:pt>
                <c:pt idx="79">
                  <c:v>1.1165413796965036</c:v>
                </c:pt>
                <c:pt idx="80">
                  <c:v>1.1381084856757759</c:v>
                </c:pt>
                <c:pt idx="81">
                  <c:v>1.1392721242835677</c:v>
                </c:pt>
                <c:pt idx="82">
                  <c:v>1.1454959951794885</c:v>
                </c:pt>
                <c:pt idx="83">
                  <c:v>1.1438041460207899</c:v>
                </c:pt>
                <c:pt idx="84">
                  <c:v>1.1390273027388298</c:v>
                </c:pt>
                <c:pt idx="85">
                  <c:v>1.1398238680250339</c:v>
                </c:pt>
                <c:pt idx="86">
                  <c:v>1.1346292164074903</c:v>
                </c:pt>
                <c:pt idx="87">
                  <c:v>1.1251796137030481</c:v>
                </c:pt>
                <c:pt idx="88">
                  <c:v>1.1291982214784619</c:v>
                </c:pt>
                <c:pt idx="89">
                  <c:v>1.1235049861686637</c:v>
                </c:pt>
                <c:pt idx="90">
                  <c:v>1.1257445830661548</c:v>
                </c:pt>
                <c:pt idx="91">
                  <c:v>1.1244834998840716</c:v>
                </c:pt>
                <c:pt idx="92">
                  <c:v>1.122293883740862</c:v>
                </c:pt>
                <c:pt idx="93">
                  <c:v>1.1237475732517821</c:v>
                </c:pt>
                <c:pt idx="94">
                  <c:v>1.1190885423391803</c:v>
                </c:pt>
                <c:pt idx="95">
                  <c:v>1.120901176622449</c:v>
                </c:pt>
                <c:pt idx="96">
                  <c:v>1.1220692122076432</c:v>
                </c:pt>
                <c:pt idx="97">
                  <c:v>1.1274157602695289</c:v>
                </c:pt>
                <c:pt idx="98">
                  <c:v>1.120732388787673</c:v>
                </c:pt>
                <c:pt idx="99">
                  <c:v>1.1227802824227842</c:v>
                </c:pt>
                <c:pt idx="100">
                  <c:v>1.1335601531220756</c:v>
                </c:pt>
                <c:pt idx="101">
                  <c:v>1.1100046093043052</c:v>
                </c:pt>
                <c:pt idx="102">
                  <c:v>1.1177027687615879</c:v>
                </c:pt>
                <c:pt idx="103">
                  <c:v>1.11061478468953</c:v>
                </c:pt>
                <c:pt idx="104">
                  <c:v>1.0975885711050963</c:v>
                </c:pt>
                <c:pt idx="105">
                  <c:v>1.1047581989713138</c:v>
                </c:pt>
                <c:pt idx="106">
                  <c:v>1.1048378460568105</c:v>
                </c:pt>
                <c:pt idx="107">
                  <c:v>1.1032348906611509</c:v>
                </c:pt>
                <c:pt idx="108">
                  <c:v>1.1096494452869783</c:v>
                </c:pt>
                <c:pt idx="109">
                  <c:v>1.0980615476674709</c:v>
                </c:pt>
                <c:pt idx="110">
                  <c:v>1.1019038830276873</c:v>
                </c:pt>
                <c:pt idx="111">
                  <c:v>1.0955988283179252</c:v>
                </c:pt>
                <c:pt idx="112">
                  <c:v>1.1027459297427047</c:v>
                </c:pt>
                <c:pt idx="113">
                  <c:v>1.0963515009599065</c:v>
                </c:pt>
                <c:pt idx="114">
                  <c:v>1.0994654386800504</c:v>
                </c:pt>
                <c:pt idx="115">
                  <c:v>1.0977246668555414</c:v>
                </c:pt>
                <c:pt idx="116">
                  <c:v>1.0948599055629868</c:v>
                </c:pt>
                <c:pt idx="117">
                  <c:v>1.089055138885229</c:v>
                </c:pt>
                <c:pt idx="118">
                  <c:v>1.0727335072532167</c:v>
                </c:pt>
                <c:pt idx="119">
                  <c:v>1.0601471533543601</c:v>
                </c:pt>
                <c:pt idx="120">
                  <c:v>1.0574228809689288</c:v>
                </c:pt>
                <c:pt idx="121">
                  <c:v>1.0615544018931797</c:v>
                </c:pt>
                <c:pt idx="122">
                  <c:v>1.0652265541169383</c:v>
                </c:pt>
                <c:pt idx="123">
                  <c:v>1.0701115733614774</c:v>
                </c:pt>
                <c:pt idx="124">
                  <c:v>1.086130720624195</c:v>
                </c:pt>
                <c:pt idx="125">
                  <c:v>1.0926523406040669</c:v>
                </c:pt>
                <c:pt idx="126">
                  <c:v>1.0713698836960053</c:v>
                </c:pt>
                <c:pt idx="127">
                  <c:v>1.0716799610448926</c:v>
                </c:pt>
                <c:pt idx="128">
                  <c:v>1.0646977568491489</c:v>
                </c:pt>
                <c:pt idx="129">
                  <c:v>1.0694381183785968</c:v>
                </c:pt>
                <c:pt idx="130">
                  <c:v>1.0767090455275823</c:v>
                </c:pt>
                <c:pt idx="131">
                  <c:v>1.0932772206800994</c:v>
                </c:pt>
                <c:pt idx="132">
                  <c:v>1.1053978235033528</c:v>
                </c:pt>
                <c:pt idx="133">
                  <c:v>1.0924396609161762</c:v>
                </c:pt>
                <c:pt idx="134">
                  <c:v>1.0969751156335383</c:v>
                </c:pt>
                <c:pt idx="135">
                  <c:v>1.0911585021117918</c:v>
                </c:pt>
                <c:pt idx="136">
                  <c:v>1.0842745999888093</c:v>
                </c:pt>
                <c:pt idx="137">
                  <c:v>1.0967503230010278</c:v>
                </c:pt>
                <c:pt idx="138">
                  <c:v>1.0891846892776684</c:v>
                </c:pt>
                <c:pt idx="139">
                  <c:v>1.0999213349400734</c:v>
                </c:pt>
                <c:pt idx="140">
                  <c:v>1.1085467785469163</c:v>
                </c:pt>
                <c:pt idx="141">
                  <c:v>1.1113877544935753</c:v>
                </c:pt>
                <c:pt idx="142">
                  <c:v>1.113487753411182</c:v>
                </c:pt>
                <c:pt idx="143">
                  <c:v>1.0971423414018973</c:v>
                </c:pt>
                <c:pt idx="144">
                  <c:v>1.0872237409025085</c:v>
                </c:pt>
                <c:pt idx="145">
                  <c:v>1.089694447126955</c:v>
                </c:pt>
                <c:pt idx="146">
                  <c:v>1.1010109080755337</c:v>
                </c:pt>
                <c:pt idx="147">
                  <c:v>1.1018194360509002</c:v>
                </c:pt>
                <c:pt idx="148">
                  <c:v>1.0993955463969638</c:v>
                </c:pt>
                <c:pt idx="149">
                  <c:v>1.1005220876941344</c:v>
                </c:pt>
                <c:pt idx="150">
                  <c:v>1.1026537891940091</c:v>
                </c:pt>
                <c:pt idx="151">
                  <c:v>1.0979728093086747</c:v>
                </c:pt>
                <c:pt idx="152">
                  <c:v>1.1047254105501285</c:v>
                </c:pt>
                <c:pt idx="153">
                  <c:v>1.0900345058307579</c:v>
                </c:pt>
                <c:pt idx="154">
                  <c:v>1.0927303904692227</c:v>
                </c:pt>
                <c:pt idx="155">
                  <c:v>1.0900807242386406</c:v>
                </c:pt>
                <c:pt idx="156">
                  <c:v>1.0859581675711543</c:v>
                </c:pt>
                <c:pt idx="157">
                  <c:v>1.0779310924196042</c:v>
                </c:pt>
                <c:pt idx="158">
                  <c:v>1.0646351746880227</c:v>
                </c:pt>
                <c:pt idx="159">
                  <c:v>1.0612824795897722</c:v>
                </c:pt>
                <c:pt idx="160">
                  <c:v>1.0484117013323004</c:v>
                </c:pt>
                <c:pt idx="161">
                  <c:v>1.0333978525335001</c:v>
                </c:pt>
                <c:pt idx="162">
                  <c:v>1.0226190394398931</c:v>
                </c:pt>
                <c:pt idx="163">
                  <c:v>0.99235798060092284</c:v>
                </c:pt>
                <c:pt idx="164">
                  <c:v>0.98278356396118449</c:v>
                </c:pt>
                <c:pt idx="165">
                  <c:v>0.97910465186107221</c:v>
                </c:pt>
                <c:pt idx="166">
                  <c:v>0.98790937457474715</c:v>
                </c:pt>
                <c:pt idx="167">
                  <c:v>0.98081831352513038</c:v>
                </c:pt>
                <c:pt idx="168">
                  <c:v>0.96348636152772782</c:v>
                </c:pt>
                <c:pt idx="169">
                  <c:v>0.94265103149114493</c:v>
                </c:pt>
                <c:pt idx="170">
                  <c:v>0.937189248163805</c:v>
                </c:pt>
                <c:pt idx="171">
                  <c:v>0.95758262730550647</c:v>
                </c:pt>
                <c:pt idx="172">
                  <c:v>0.97590839230421556</c:v>
                </c:pt>
                <c:pt idx="173">
                  <c:v>0.99359482531458465</c:v>
                </c:pt>
                <c:pt idx="174">
                  <c:v>0.98759418940085886</c:v>
                </c:pt>
                <c:pt idx="175">
                  <c:v>0.98069421372217136</c:v>
                </c:pt>
                <c:pt idx="176">
                  <c:v>0.96264423774358343</c:v>
                </c:pt>
                <c:pt idx="177">
                  <c:v>0.96383413648895633</c:v>
                </c:pt>
                <c:pt idx="178">
                  <c:v>0.94673208826336575</c:v>
                </c:pt>
                <c:pt idx="179">
                  <c:v>0.94822251913237376</c:v>
                </c:pt>
                <c:pt idx="180">
                  <c:v>0.94709898914068491</c:v>
                </c:pt>
                <c:pt idx="181">
                  <c:v>0.95109931605714315</c:v>
                </c:pt>
                <c:pt idx="182">
                  <c:v>0.93710669892329479</c:v>
                </c:pt>
                <c:pt idx="183">
                  <c:v>0.9215259151301628</c:v>
                </c:pt>
                <c:pt idx="184">
                  <c:v>0.91980368684250879</c:v>
                </c:pt>
                <c:pt idx="185">
                  <c:v>0.97102472046694499</c:v>
                </c:pt>
                <c:pt idx="186">
                  <c:v>0.95419823766570966</c:v>
                </c:pt>
                <c:pt idx="187">
                  <c:v>0.95935305566384799</c:v>
                </c:pt>
                <c:pt idx="188">
                  <c:v>0.960012190557338</c:v>
                </c:pt>
                <c:pt idx="189">
                  <c:v>0.9600918185448617</c:v>
                </c:pt>
                <c:pt idx="190">
                  <c:v>0.982769133067942</c:v>
                </c:pt>
                <c:pt idx="191">
                  <c:v>0.9793141080345098</c:v>
                </c:pt>
                <c:pt idx="192">
                  <c:v>0.98630483554798731</c:v>
                </c:pt>
                <c:pt idx="193">
                  <c:v>0.97556555036531445</c:v>
                </c:pt>
                <c:pt idx="194">
                  <c:v>0.96808190815537343</c:v>
                </c:pt>
                <c:pt idx="195">
                  <c:v>0.96583154681981587</c:v>
                </c:pt>
                <c:pt idx="196">
                  <c:v>0.95780988936184885</c:v>
                </c:pt>
                <c:pt idx="197">
                  <c:v>0.96257165517513277</c:v>
                </c:pt>
                <c:pt idx="198">
                  <c:v>0.95376634734439869</c:v>
                </c:pt>
                <c:pt idx="199">
                  <c:v>0.95716366103711747</c:v>
                </c:pt>
                <c:pt idx="200">
                  <c:v>0.94735655889763748</c:v>
                </c:pt>
                <c:pt idx="201">
                  <c:v>0.94937977138781382</c:v>
                </c:pt>
                <c:pt idx="202">
                  <c:v>0.94942667331249853</c:v>
                </c:pt>
                <c:pt idx="203">
                  <c:v>0.95193948705737563</c:v>
                </c:pt>
                <c:pt idx="204">
                  <c:v>0.95537399872707951</c:v>
                </c:pt>
                <c:pt idx="205">
                  <c:v>0.95831882375673871</c:v>
                </c:pt>
                <c:pt idx="206">
                  <c:v>0.9439974149681698</c:v>
                </c:pt>
                <c:pt idx="207">
                  <c:v>0.93789532891295369</c:v>
                </c:pt>
                <c:pt idx="208">
                  <c:v>0.92962225980606061</c:v>
                </c:pt>
                <c:pt idx="209">
                  <c:v>0.92628131336488573</c:v>
                </c:pt>
                <c:pt idx="210">
                  <c:v>0.95171227769123679</c:v>
                </c:pt>
                <c:pt idx="211">
                  <c:v>0.95581675784879661</c:v>
                </c:pt>
                <c:pt idx="212">
                  <c:v>0.95449255816180212</c:v>
                </c:pt>
                <c:pt idx="213">
                  <c:v>0.96617571205984765</c:v>
                </c:pt>
                <c:pt idx="214">
                  <c:v>0.97677985689855884</c:v>
                </c:pt>
                <c:pt idx="215">
                  <c:v>0.96864268082436678</c:v>
                </c:pt>
                <c:pt idx="216">
                  <c:v>0.96927667340250911</c:v>
                </c:pt>
                <c:pt idx="217">
                  <c:v>0.97167878254646733</c:v>
                </c:pt>
                <c:pt idx="218">
                  <c:v>0.96632215748535477</c:v>
                </c:pt>
                <c:pt idx="219">
                  <c:v>0.97669309361830281</c:v>
                </c:pt>
                <c:pt idx="220">
                  <c:v>0.97559812909970889</c:v>
                </c:pt>
                <c:pt idx="221">
                  <c:v>0.9759161268404789</c:v>
                </c:pt>
                <c:pt idx="222">
                  <c:v>0.97308681075714465</c:v>
                </c:pt>
                <c:pt idx="223">
                  <c:v>0.97350113560749374</c:v>
                </c:pt>
                <c:pt idx="224">
                  <c:v>0.98149285300458289</c:v>
                </c:pt>
                <c:pt idx="225">
                  <c:v>0.9866672404699488</c:v>
                </c:pt>
                <c:pt idx="226">
                  <c:v>0.99528712555020094</c:v>
                </c:pt>
                <c:pt idx="227">
                  <c:v>0.99884976551891691</c:v>
                </c:pt>
                <c:pt idx="228">
                  <c:v>1.0015848479771015</c:v>
                </c:pt>
                <c:pt idx="229">
                  <c:v>1.0093629722407911</c:v>
                </c:pt>
                <c:pt idx="230">
                  <c:v>1.0005660227192119</c:v>
                </c:pt>
                <c:pt idx="231">
                  <c:v>0.9698879500170422</c:v>
                </c:pt>
                <c:pt idx="232">
                  <c:v>0.97027493591727809</c:v>
                </c:pt>
                <c:pt idx="233">
                  <c:v>0.94648024009681431</c:v>
                </c:pt>
                <c:pt idx="234">
                  <c:v>0.93840064326804495</c:v>
                </c:pt>
                <c:pt idx="235">
                  <c:v>0.93570051925316666</c:v>
                </c:pt>
                <c:pt idx="236">
                  <c:v>0.94696203693633729</c:v>
                </c:pt>
                <c:pt idx="237">
                  <c:v>0.96045996998629291</c:v>
                </c:pt>
                <c:pt idx="238">
                  <c:v>0.95921387978352224</c:v>
                </c:pt>
                <c:pt idx="239">
                  <c:v>0.94633446216556649</c:v>
                </c:pt>
                <c:pt idx="240">
                  <c:v>0.94729485881677422</c:v>
                </c:pt>
                <c:pt idx="241">
                  <c:v>0.96118396365147252</c:v>
                </c:pt>
                <c:pt idx="242">
                  <c:v>0.95703309852467711</c:v>
                </c:pt>
                <c:pt idx="243">
                  <c:v>0.9584240136210822</c:v>
                </c:pt>
                <c:pt idx="244">
                  <c:v>0.95798438279497311</c:v>
                </c:pt>
                <c:pt idx="245">
                  <c:v>0.94621639051755835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30-485C-979B-36AA21D13D81}"/>
            </c:ext>
          </c:extLst>
        </c:ser>
        <c:ser>
          <c:idx val="1"/>
          <c:order val="1"/>
          <c:tx>
            <c:strRef>
              <c:f>PCA!$BC$1</c:f>
              <c:strCache>
                <c:ptCount val="1"/>
                <c:pt idx="0">
                  <c:v>RP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PCA!$BA$5:$BA$250</c:f>
              <c:numCache>
                <c:formatCode>General</c:formatCode>
                <c:ptCount val="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</c:numCache>
            </c:numRef>
          </c:xVal>
          <c:yVal>
            <c:numRef>
              <c:f>PCA!$BC$5:$BC$250</c:f>
              <c:numCache>
                <c:formatCode>General</c:formatCode>
                <c:ptCount val="246"/>
                <c:pt idx="0">
                  <c:v>1</c:v>
                </c:pt>
                <c:pt idx="1">
                  <c:v>1.0096122272400734</c:v>
                </c:pt>
                <c:pt idx="2">
                  <c:v>1.009942260487581</c:v>
                </c:pt>
                <c:pt idx="3">
                  <c:v>1.0001919232712435</c:v>
                </c:pt>
                <c:pt idx="4">
                  <c:v>0.99165146723520259</c:v>
                </c:pt>
                <c:pt idx="5">
                  <c:v>0.99236289633585006</c:v>
                </c:pt>
                <c:pt idx="6">
                  <c:v>0.98022843951010719</c:v>
                </c:pt>
                <c:pt idx="7">
                  <c:v>0.97917332339373042</c:v>
                </c:pt>
                <c:pt idx="8">
                  <c:v>0.99023382800225868</c:v>
                </c:pt>
                <c:pt idx="9">
                  <c:v>0.99955202077374539</c:v>
                </c:pt>
                <c:pt idx="10">
                  <c:v>0.99776896120787817</c:v>
                </c:pt>
                <c:pt idx="11">
                  <c:v>1.0039043802132779</c:v>
                </c:pt>
                <c:pt idx="12">
                  <c:v>0.9980759619583075</c:v>
                </c:pt>
                <c:pt idx="13">
                  <c:v>0.99849033695556633</c:v>
                </c:pt>
                <c:pt idx="14">
                  <c:v>0.99205526072862815</c:v>
                </c:pt>
                <c:pt idx="15">
                  <c:v>0.99053532403137012</c:v>
                </c:pt>
                <c:pt idx="16">
                  <c:v>0.99462156489420384</c:v>
                </c:pt>
                <c:pt idx="17">
                  <c:v>0.98863585153947342</c:v>
                </c:pt>
                <c:pt idx="18">
                  <c:v>0.98394779765245843</c:v>
                </c:pt>
                <c:pt idx="19">
                  <c:v>0.98875060436200668</c:v>
                </c:pt>
                <c:pt idx="20">
                  <c:v>0.97207306319870801</c:v>
                </c:pt>
                <c:pt idx="21">
                  <c:v>0.97118325637478176</c:v>
                </c:pt>
                <c:pt idx="22">
                  <c:v>0.99420459916990389</c:v>
                </c:pt>
                <c:pt idx="23">
                  <c:v>1.0002432589117163</c:v>
                </c:pt>
                <c:pt idx="24">
                  <c:v>1.0096683134486388</c:v>
                </c:pt>
                <c:pt idx="25">
                  <c:v>1.0212600937071581</c:v>
                </c:pt>
                <c:pt idx="26">
                  <c:v>1.0176811522490319</c:v>
                </c:pt>
                <c:pt idx="27">
                  <c:v>1.0244717176941789</c:v>
                </c:pt>
                <c:pt idx="28">
                  <c:v>1.0165354556687487</c:v>
                </c:pt>
                <c:pt idx="29">
                  <c:v>1.0286347040894412</c:v>
                </c:pt>
                <c:pt idx="30">
                  <c:v>1.0314495449331742</c:v>
                </c:pt>
                <c:pt idx="31">
                  <c:v>1.0254739970822342</c:v>
                </c:pt>
                <c:pt idx="32">
                  <c:v>1.0324362794058262</c:v>
                </c:pt>
                <c:pt idx="33">
                  <c:v>1.0317286188799231</c:v>
                </c:pt>
                <c:pt idx="34">
                  <c:v>1.0285871832883824</c:v>
                </c:pt>
                <c:pt idx="35">
                  <c:v>1.0336948710776555</c:v>
                </c:pt>
                <c:pt idx="36">
                  <c:v>1.0409387336152165</c:v>
                </c:pt>
                <c:pt idx="37">
                  <c:v>1.0482244084729546</c:v>
                </c:pt>
                <c:pt idx="38">
                  <c:v>1.0415859556570932</c:v>
                </c:pt>
                <c:pt idx="39">
                  <c:v>1.0419975122465785</c:v>
                </c:pt>
                <c:pt idx="40">
                  <c:v>1.0466070226219704</c:v>
                </c:pt>
                <c:pt idx="41">
                  <c:v>1.0489034327906006</c:v>
                </c:pt>
                <c:pt idx="42">
                  <c:v>1.045451469162713</c:v>
                </c:pt>
                <c:pt idx="43">
                  <c:v>1.0447689863628953</c:v>
                </c:pt>
                <c:pt idx="44">
                  <c:v>1.0501058778015837</c:v>
                </c:pt>
                <c:pt idx="45">
                  <c:v>1.0574012001457125</c:v>
                </c:pt>
                <c:pt idx="46">
                  <c:v>1.0607452616348827</c:v>
                </c:pt>
                <c:pt idx="47">
                  <c:v>1.0703152299874987</c:v>
                </c:pt>
                <c:pt idx="48">
                  <c:v>1.0724246965005093</c:v>
                </c:pt>
                <c:pt idx="49">
                  <c:v>1.0609407126770116</c:v>
                </c:pt>
                <c:pt idx="50">
                  <c:v>1.0688624450862143</c:v>
                </c:pt>
                <c:pt idx="51">
                  <c:v>1.0684388535028435</c:v>
                </c:pt>
                <c:pt idx="52">
                  <c:v>1.076954884146436</c:v>
                </c:pt>
                <c:pt idx="53">
                  <c:v>1.0798106609676572</c:v>
                </c:pt>
                <c:pt idx="54">
                  <c:v>1.0851484094532255</c:v>
                </c:pt>
                <c:pt idx="55">
                  <c:v>1.0760316105932699</c:v>
                </c:pt>
                <c:pt idx="56">
                  <c:v>1.0731519831550236</c:v>
                </c:pt>
                <c:pt idx="57">
                  <c:v>1.0797146877565451</c:v>
                </c:pt>
                <c:pt idx="58">
                  <c:v>1.075061063743288</c:v>
                </c:pt>
                <c:pt idx="59">
                  <c:v>1.0742789823886938</c:v>
                </c:pt>
                <c:pt idx="60">
                  <c:v>1.0739548752957357</c:v>
                </c:pt>
                <c:pt idx="61">
                  <c:v>1.0659411576843043</c:v>
                </c:pt>
                <c:pt idx="62">
                  <c:v>1.0691108714938593</c:v>
                </c:pt>
                <c:pt idx="63">
                  <c:v>1.0698235060965073</c:v>
                </c:pt>
                <c:pt idx="64">
                  <c:v>1.0595814448092187</c:v>
                </c:pt>
                <c:pt idx="65">
                  <c:v>1.0628068829736768</c:v>
                </c:pt>
                <c:pt idx="66">
                  <c:v>1.0701585240450959</c:v>
                </c:pt>
                <c:pt idx="67">
                  <c:v>1.0675779699102474</c:v>
                </c:pt>
                <c:pt idx="68">
                  <c:v>1.0684062265018721</c:v>
                </c:pt>
                <c:pt idx="69">
                  <c:v>1.0743608460982801</c:v>
                </c:pt>
                <c:pt idx="70">
                  <c:v>1.0806690456322792</c:v>
                </c:pt>
                <c:pt idx="71">
                  <c:v>1.0812861580355131</c:v>
                </c:pt>
                <c:pt idx="72">
                  <c:v>1.0798408525843455</c:v>
                </c:pt>
                <c:pt idx="73">
                  <c:v>1.0796609663392307</c:v>
                </c:pt>
                <c:pt idx="74">
                  <c:v>1.0833731146354901</c:v>
                </c:pt>
                <c:pt idx="75">
                  <c:v>1.0744697925793256</c:v>
                </c:pt>
                <c:pt idx="76">
                  <c:v>1.0789202251933485</c:v>
                </c:pt>
                <c:pt idx="77">
                  <c:v>1.0795231575456561</c:v>
                </c:pt>
                <c:pt idx="78">
                  <c:v>1.0873207633533879</c:v>
                </c:pt>
                <c:pt idx="79">
                  <c:v>1.0992223197946558</c:v>
                </c:pt>
                <c:pt idx="80">
                  <c:v>1.1175191940026725</c:v>
                </c:pt>
                <c:pt idx="81">
                  <c:v>1.1183745504288318</c:v>
                </c:pt>
                <c:pt idx="82">
                  <c:v>1.124884057382618</c:v>
                </c:pt>
                <c:pt idx="83">
                  <c:v>1.1232383406799351</c:v>
                </c:pt>
                <c:pt idx="84">
                  <c:v>1.118901822846728</c:v>
                </c:pt>
                <c:pt idx="85">
                  <c:v>1.1200377577068237</c:v>
                </c:pt>
                <c:pt idx="86">
                  <c:v>1.1151377906604765</c:v>
                </c:pt>
                <c:pt idx="87">
                  <c:v>1.1071563377118814</c:v>
                </c:pt>
                <c:pt idx="88">
                  <c:v>1.1110149757928625</c:v>
                </c:pt>
                <c:pt idx="89">
                  <c:v>1.1059682889948197</c:v>
                </c:pt>
                <c:pt idx="90">
                  <c:v>1.1081489038968531</c:v>
                </c:pt>
                <c:pt idx="91">
                  <c:v>1.1067141562553313</c:v>
                </c:pt>
                <c:pt idx="92">
                  <c:v>1.1049857426016272</c:v>
                </c:pt>
                <c:pt idx="93">
                  <c:v>1.1069751264869601</c:v>
                </c:pt>
                <c:pt idx="94">
                  <c:v>1.1026898677428203</c:v>
                </c:pt>
                <c:pt idx="95">
                  <c:v>1.1039328725084885</c:v>
                </c:pt>
                <c:pt idx="96">
                  <c:v>1.1058531701620911</c:v>
                </c:pt>
                <c:pt idx="97">
                  <c:v>1.1114242577393088</c:v>
                </c:pt>
                <c:pt idx="98">
                  <c:v>1.1051098764718468</c:v>
                </c:pt>
                <c:pt idx="99">
                  <c:v>1.1071792435899259</c:v>
                </c:pt>
                <c:pt idx="100">
                  <c:v>1.1178697500330803</c:v>
                </c:pt>
                <c:pt idx="101">
                  <c:v>1.0963699161288658</c:v>
                </c:pt>
                <c:pt idx="102">
                  <c:v>1.1036860541670206</c:v>
                </c:pt>
                <c:pt idx="103">
                  <c:v>1.0966349371203732</c:v>
                </c:pt>
                <c:pt idx="104">
                  <c:v>1.0850924136143043</c:v>
                </c:pt>
                <c:pt idx="105">
                  <c:v>1.0921692626999771</c:v>
                </c:pt>
                <c:pt idx="106">
                  <c:v>1.093990079287444</c:v>
                </c:pt>
                <c:pt idx="107">
                  <c:v>1.0922705455698871</c:v>
                </c:pt>
                <c:pt idx="108">
                  <c:v>1.0964588834894085</c:v>
                </c:pt>
                <c:pt idx="109">
                  <c:v>1.086275485403029</c:v>
                </c:pt>
                <c:pt idx="110">
                  <c:v>1.0888317735721962</c:v>
                </c:pt>
                <c:pt idx="111">
                  <c:v>1.0832579217191634</c:v>
                </c:pt>
                <c:pt idx="112">
                  <c:v>1.0903191706237982</c:v>
                </c:pt>
                <c:pt idx="113">
                  <c:v>1.0853473161221299</c:v>
                </c:pt>
                <c:pt idx="114">
                  <c:v>1.0884250765760528</c:v>
                </c:pt>
                <c:pt idx="115">
                  <c:v>1.086781012551115</c:v>
                </c:pt>
                <c:pt idx="116">
                  <c:v>1.0827661120813286</c:v>
                </c:pt>
                <c:pt idx="117">
                  <c:v>1.0784029507774049</c:v>
                </c:pt>
                <c:pt idx="118">
                  <c:v>1.0632423112150042</c:v>
                </c:pt>
                <c:pt idx="119">
                  <c:v>1.0537280343828577</c:v>
                </c:pt>
                <c:pt idx="120">
                  <c:v>1.0504839357124633</c:v>
                </c:pt>
                <c:pt idx="121">
                  <c:v>1.054094516590715</c:v>
                </c:pt>
                <c:pt idx="122">
                  <c:v>1.0570401257079094</c:v>
                </c:pt>
                <c:pt idx="123">
                  <c:v>1.0619530517767337</c:v>
                </c:pt>
                <c:pt idx="124">
                  <c:v>1.0777335636034455</c:v>
                </c:pt>
                <c:pt idx="125">
                  <c:v>1.0835221208224388</c:v>
                </c:pt>
                <c:pt idx="126">
                  <c:v>1.0653962242616193</c:v>
                </c:pt>
                <c:pt idx="127">
                  <c:v>1.0657275061342568</c:v>
                </c:pt>
                <c:pt idx="128">
                  <c:v>1.0596386771842006</c:v>
                </c:pt>
                <c:pt idx="129">
                  <c:v>1.0636630038292296</c:v>
                </c:pt>
                <c:pt idx="130">
                  <c:v>1.0689577648832933</c:v>
                </c:pt>
                <c:pt idx="131">
                  <c:v>1.0848002218166735</c:v>
                </c:pt>
                <c:pt idx="132">
                  <c:v>1.0952216115905782</c:v>
                </c:pt>
                <c:pt idx="133">
                  <c:v>1.0822946432044211</c:v>
                </c:pt>
                <c:pt idx="134">
                  <c:v>1.0852741846488501</c:v>
                </c:pt>
                <c:pt idx="135">
                  <c:v>1.0801304292105378</c:v>
                </c:pt>
                <c:pt idx="136">
                  <c:v>1.0742411864194392</c:v>
                </c:pt>
                <c:pt idx="137">
                  <c:v>1.0861179738323692</c:v>
                </c:pt>
                <c:pt idx="138">
                  <c:v>1.0783205724030005</c:v>
                </c:pt>
                <c:pt idx="139">
                  <c:v>1.0895839455120597</c:v>
                </c:pt>
                <c:pt idx="140">
                  <c:v>1.0966046302237284</c:v>
                </c:pt>
                <c:pt idx="141">
                  <c:v>1.0997771795318456</c:v>
                </c:pt>
                <c:pt idx="142">
                  <c:v>1.101668954939897</c:v>
                </c:pt>
                <c:pt idx="143">
                  <c:v>1.0867582313427557</c:v>
                </c:pt>
                <c:pt idx="144">
                  <c:v>1.0782731943245478</c:v>
                </c:pt>
                <c:pt idx="145">
                  <c:v>1.0812857995759175</c:v>
                </c:pt>
                <c:pt idx="146">
                  <c:v>1.0915308102253631</c:v>
                </c:pt>
                <c:pt idx="147">
                  <c:v>1.0918274042406233</c:v>
                </c:pt>
                <c:pt idx="148">
                  <c:v>1.0896776587242827</c:v>
                </c:pt>
                <c:pt idx="149">
                  <c:v>1.0902032805565554</c:v>
                </c:pt>
                <c:pt idx="150">
                  <c:v>1.0921336224943876</c:v>
                </c:pt>
                <c:pt idx="151">
                  <c:v>1.0878931438436095</c:v>
                </c:pt>
                <c:pt idx="152">
                  <c:v>1.0950655149575308</c:v>
                </c:pt>
                <c:pt idx="153">
                  <c:v>1.0812307218992794</c:v>
                </c:pt>
                <c:pt idx="154">
                  <c:v>1.0842602545699604</c:v>
                </c:pt>
                <c:pt idx="155">
                  <c:v>1.0821342890215697</c:v>
                </c:pt>
                <c:pt idx="156">
                  <c:v>1.0787608870107031</c:v>
                </c:pt>
                <c:pt idx="157">
                  <c:v>1.0712201135268917</c:v>
                </c:pt>
                <c:pt idx="158">
                  <c:v>1.060489264815806</c:v>
                </c:pt>
                <c:pt idx="159">
                  <c:v>1.0575831917446941</c:v>
                </c:pt>
                <c:pt idx="160">
                  <c:v>1.0445045429874267</c:v>
                </c:pt>
                <c:pt idx="161">
                  <c:v>1.0306293880548318</c:v>
                </c:pt>
                <c:pt idx="162">
                  <c:v>1.0208605959773152</c:v>
                </c:pt>
                <c:pt idx="163">
                  <c:v>0.99338159448599006</c:v>
                </c:pt>
                <c:pt idx="164">
                  <c:v>0.98530650759393523</c:v>
                </c:pt>
                <c:pt idx="165">
                  <c:v>0.9840949444585787</c:v>
                </c:pt>
                <c:pt idx="166">
                  <c:v>0.99176873111068053</c:v>
                </c:pt>
                <c:pt idx="167">
                  <c:v>0.9860037260769674</c:v>
                </c:pt>
                <c:pt idx="168">
                  <c:v>0.97048993891392643</c:v>
                </c:pt>
                <c:pt idx="169">
                  <c:v>0.94946483801165704</c:v>
                </c:pt>
                <c:pt idx="170">
                  <c:v>0.94277690704672512</c:v>
                </c:pt>
                <c:pt idx="171">
                  <c:v>0.95881689700034278</c:v>
                </c:pt>
                <c:pt idx="172">
                  <c:v>0.97451271842794585</c:v>
                </c:pt>
                <c:pt idx="173">
                  <c:v>0.99226164287300556</c:v>
                </c:pt>
                <c:pt idx="174">
                  <c:v>0.98749484315834646</c:v>
                </c:pt>
                <c:pt idx="175">
                  <c:v>0.97963716789138366</c:v>
                </c:pt>
                <c:pt idx="176">
                  <c:v>0.96264369116974224</c:v>
                </c:pt>
                <c:pt idx="177">
                  <c:v>0.96422747241195206</c:v>
                </c:pt>
                <c:pt idx="178">
                  <c:v>0.94726748285268092</c:v>
                </c:pt>
                <c:pt idx="179">
                  <c:v>0.94854298448401719</c:v>
                </c:pt>
                <c:pt idx="180">
                  <c:v>0.946864193362981</c:v>
                </c:pt>
                <c:pt idx="181">
                  <c:v>0.9515340824257208</c:v>
                </c:pt>
                <c:pt idx="182">
                  <c:v>0.93740747647308276</c:v>
                </c:pt>
                <c:pt idx="183">
                  <c:v>0.92212462964126651</c:v>
                </c:pt>
                <c:pt idx="184">
                  <c:v>0.92062770405065986</c:v>
                </c:pt>
                <c:pt idx="185">
                  <c:v>0.96671156391237867</c:v>
                </c:pt>
                <c:pt idx="186">
                  <c:v>0.95200553464710713</c:v>
                </c:pt>
                <c:pt idx="187">
                  <c:v>0.95737424853179753</c:v>
                </c:pt>
                <c:pt idx="188">
                  <c:v>0.95939335948020088</c:v>
                </c:pt>
                <c:pt idx="189">
                  <c:v>0.95945271470680094</c:v>
                </c:pt>
                <c:pt idx="190">
                  <c:v>0.97997814768789016</c:v>
                </c:pt>
                <c:pt idx="191">
                  <c:v>0.97719472578834754</c:v>
                </c:pt>
                <c:pt idx="192">
                  <c:v>0.98476151127036626</c:v>
                </c:pt>
                <c:pt idx="193">
                  <c:v>0.97516508688460168</c:v>
                </c:pt>
                <c:pt idx="194">
                  <c:v>0.96738990041873174</c:v>
                </c:pt>
                <c:pt idx="195">
                  <c:v>0.96573883939693339</c:v>
                </c:pt>
                <c:pt idx="196">
                  <c:v>0.9578412568657303</c:v>
                </c:pt>
                <c:pt idx="197">
                  <c:v>0.96311258274833245</c:v>
                </c:pt>
                <c:pt idx="198">
                  <c:v>0.9545855135698964</c:v>
                </c:pt>
                <c:pt idx="199">
                  <c:v>0.95836427554722103</c:v>
                </c:pt>
                <c:pt idx="200">
                  <c:v>0.94915193920553442</c:v>
                </c:pt>
                <c:pt idx="201">
                  <c:v>0.95059043606617866</c:v>
                </c:pt>
                <c:pt idx="202">
                  <c:v>0.95041980508235135</c:v>
                </c:pt>
                <c:pt idx="203">
                  <c:v>0.9533441825975929</c:v>
                </c:pt>
                <c:pt idx="204">
                  <c:v>0.95511786298894741</c:v>
                </c:pt>
                <c:pt idx="205">
                  <c:v>0.95840871204056521</c:v>
                </c:pt>
                <c:pt idx="206">
                  <c:v>0.94463264877774977</c:v>
                </c:pt>
                <c:pt idx="207">
                  <c:v>0.93940576649593832</c:v>
                </c:pt>
                <c:pt idx="208">
                  <c:v>0.93137129531256579</c:v>
                </c:pt>
                <c:pt idx="209">
                  <c:v>0.92863967004016179</c:v>
                </c:pt>
                <c:pt idx="210">
                  <c:v>0.95308254413383642</c:v>
                </c:pt>
                <c:pt idx="211">
                  <c:v>0.95752356144980022</c:v>
                </c:pt>
                <c:pt idx="212">
                  <c:v>0.9564828525494542</c:v>
                </c:pt>
                <c:pt idx="213">
                  <c:v>0.96583882953268474</c:v>
                </c:pt>
                <c:pt idx="214">
                  <c:v>0.97471820330379499</c:v>
                </c:pt>
                <c:pt idx="215">
                  <c:v>0.96733213342974922</c:v>
                </c:pt>
                <c:pt idx="216">
                  <c:v>0.96857489009573616</c:v>
                </c:pt>
                <c:pt idx="217">
                  <c:v>0.97109756478481146</c:v>
                </c:pt>
                <c:pt idx="218">
                  <c:v>0.9653610993466889</c:v>
                </c:pt>
                <c:pt idx="219">
                  <c:v>0.97543500750800316</c:v>
                </c:pt>
                <c:pt idx="220">
                  <c:v>0.9745685194410606</c:v>
                </c:pt>
                <c:pt idx="221">
                  <c:v>0.97485665138155819</c:v>
                </c:pt>
                <c:pt idx="222">
                  <c:v>0.97179475505275015</c:v>
                </c:pt>
                <c:pt idx="223">
                  <c:v>0.97225348107121634</c:v>
                </c:pt>
                <c:pt idx="224">
                  <c:v>0.97868930280034905</c:v>
                </c:pt>
                <c:pt idx="225">
                  <c:v>0.9844832906097335</c:v>
                </c:pt>
                <c:pt idx="226">
                  <c:v>0.99291542047003012</c:v>
                </c:pt>
                <c:pt idx="227">
                  <c:v>0.99530852650519186</c:v>
                </c:pt>
                <c:pt idx="228">
                  <c:v>0.99720353981398591</c:v>
                </c:pt>
                <c:pt idx="229">
                  <c:v>1.0045393954246442</c:v>
                </c:pt>
                <c:pt idx="230">
                  <c:v>0.99682743834272847</c:v>
                </c:pt>
                <c:pt idx="231">
                  <c:v>0.96970126517392785</c:v>
                </c:pt>
                <c:pt idx="232">
                  <c:v>0.97050155030930618</c:v>
                </c:pt>
                <c:pt idx="233">
                  <c:v>0.94834317961892844</c:v>
                </c:pt>
                <c:pt idx="234">
                  <c:v>0.94139603595990518</c:v>
                </c:pt>
                <c:pt idx="235">
                  <c:v>0.93827964272131947</c:v>
                </c:pt>
                <c:pt idx="236">
                  <c:v>0.94900703740073344</c:v>
                </c:pt>
                <c:pt idx="237">
                  <c:v>0.96173662454630549</c:v>
                </c:pt>
                <c:pt idx="238">
                  <c:v>0.96033284868317936</c:v>
                </c:pt>
                <c:pt idx="239">
                  <c:v>0.94863109653869715</c:v>
                </c:pt>
                <c:pt idx="240">
                  <c:v>0.94944583092359369</c:v>
                </c:pt>
                <c:pt idx="241">
                  <c:v>0.96241102702762804</c:v>
                </c:pt>
                <c:pt idx="242">
                  <c:v>0.95795034541871749</c:v>
                </c:pt>
                <c:pt idx="243">
                  <c:v>0.95901908389170054</c:v>
                </c:pt>
                <c:pt idx="244">
                  <c:v>0.95922871693701384</c:v>
                </c:pt>
                <c:pt idx="245">
                  <c:v>0.94746430328665265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30-485C-979B-36AA21D13D81}"/>
            </c:ext>
          </c:extLst>
        </c:ser>
        <c:ser>
          <c:idx val="2"/>
          <c:order val="2"/>
          <c:tx>
            <c:strRef>
              <c:f>PCA!$BD$1</c:f>
              <c:strCache>
                <c:ptCount val="1"/>
                <c:pt idx="0">
                  <c:v>EWP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PCA!$BA$5:$BA$250</c:f>
              <c:numCache>
                <c:formatCode>General</c:formatCode>
                <c:ptCount val="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</c:numCache>
            </c:numRef>
          </c:xVal>
          <c:yVal>
            <c:numRef>
              <c:f>PCA!$BD$5:$BD$250</c:f>
              <c:numCache>
                <c:formatCode>General</c:formatCode>
                <c:ptCount val="246"/>
                <c:pt idx="0">
                  <c:v>1</c:v>
                </c:pt>
                <c:pt idx="1">
                  <c:v>1.0016286835190948</c:v>
                </c:pt>
                <c:pt idx="2">
                  <c:v>1.00295844349096</c:v>
                </c:pt>
                <c:pt idx="3">
                  <c:v>1.0054512165339884</c:v>
                </c:pt>
                <c:pt idx="4">
                  <c:v>1.0059515656987374</c:v>
                </c:pt>
                <c:pt idx="5">
                  <c:v>1.0145553473090496</c:v>
                </c:pt>
                <c:pt idx="6">
                  <c:v>1.0055550012202041</c:v>
                </c:pt>
                <c:pt idx="7">
                  <c:v>1.0055582594100023</c:v>
                </c:pt>
                <c:pt idx="8">
                  <c:v>1.0146794336341309</c:v>
                </c:pt>
                <c:pt idx="9">
                  <c:v>1.0190967009885981</c:v>
                </c:pt>
                <c:pt idx="10">
                  <c:v>1.0230827288919573</c:v>
                </c:pt>
                <c:pt idx="11">
                  <c:v>1.0339935360464003</c:v>
                </c:pt>
                <c:pt idx="12">
                  <c:v>1.0266456249707769</c:v>
                </c:pt>
                <c:pt idx="13">
                  <c:v>1.0236844562017167</c:v>
                </c:pt>
                <c:pt idx="14">
                  <c:v>1.0226958089808023</c:v>
                </c:pt>
                <c:pt idx="15">
                  <c:v>1.0198845863286981</c:v>
                </c:pt>
                <c:pt idx="16">
                  <c:v>1.0296993616173693</c:v>
                </c:pt>
                <c:pt idx="17">
                  <c:v>1.0245644099048516</c:v>
                </c:pt>
                <c:pt idx="18">
                  <c:v>1.0201862673309705</c:v>
                </c:pt>
                <c:pt idx="19">
                  <c:v>1.0209163208928014</c:v>
                </c:pt>
                <c:pt idx="20">
                  <c:v>1.0100296672101121</c:v>
                </c:pt>
                <c:pt idx="21">
                  <c:v>1.0108550344485936</c:v>
                </c:pt>
                <c:pt idx="22">
                  <c:v>1.0302441687121657</c:v>
                </c:pt>
                <c:pt idx="23">
                  <c:v>1.0324105210716878</c:v>
                </c:pt>
                <c:pt idx="24">
                  <c:v>1.0409864789735335</c:v>
                </c:pt>
                <c:pt idx="25">
                  <c:v>1.0490807746610904</c:v>
                </c:pt>
                <c:pt idx="26">
                  <c:v>1.0396571349079995</c:v>
                </c:pt>
                <c:pt idx="27">
                  <c:v>1.0449810955421908</c:v>
                </c:pt>
                <c:pt idx="28">
                  <c:v>1.0386979016813704</c:v>
                </c:pt>
                <c:pt idx="29">
                  <c:v>1.0466442684699762</c:v>
                </c:pt>
                <c:pt idx="30">
                  <c:v>1.0469861157063813</c:v>
                </c:pt>
                <c:pt idx="31">
                  <c:v>1.0404149160788863</c:v>
                </c:pt>
                <c:pt idx="32">
                  <c:v>1.0435031366666423</c:v>
                </c:pt>
                <c:pt idx="33">
                  <c:v>1.0441782595551494</c:v>
                </c:pt>
                <c:pt idx="34">
                  <c:v>1.0414502718931855</c:v>
                </c:pt>
                <c:pt idx="35">
                  <c:v>1.0463851457969777</c:v>
                </c:pt>
                <c:pt idx="36">
                  <c:v>1.0489841368050814</c:v>
                </c:pt>
                <c:pt idx="37">
                  <c:v>1.0499067822733217</c:v>
                </c:pt>
                <c:pt idx="38">
                  <c:v>1.0458589587479039</c:v>
                </c:pt>
                <c:pt idx="39">
                  <c:v>1.0417298817199256</c:v>
                </c:pt>
                <c:pt idx="40">
                  <c:v>1.0439910377031283</c:v>
                </c:pt>
                <c:pt idx="41">
                  <c:v>1.0389451623191948</c:v>
                </c:pt>
                <c:pt idx="42">
                  <c:v>1.0386266463642417</c:v>
                </c:pt>
                <c:pt idx="43">
                  <c:v>1.0365974833217328</c:v>
                </c:pt>
                <c:pt idx="44">
                  <c:v>1.0469409995425178</c:v>
                </c:pt>
                <c:pt idx="45">
                  <c:v>1.0559073549768234</c:v>
                </c:pt>
                <c:pt idx="46">
                  <c:v>1.0612186809069706</c:v>
                </c:pt>
                <c:pt idx="47">
                  <c:v>1.0678297592403891</c:v>
                </c:pt>
                <c:pt idx="48">
                  <c:v>1.0694475787195439</c:v>
                </c:pt>
                <c:pt idx="49">
                  <c:v>1.0624470949940739</c:v>
                </c:pt>
                <c:pt idx="50">
                  <c:v>1.0660755095535666</c:v>
                </c:pt>
                <c:pt idx="51">
                  <c:v>1.0696961829014049</c:v>
                </c:pt>
                <c:pt idx="52">
                  <c:v>1.0780957973281502</c:v>
                </c:pt>
                <c:pt idx="53">
                  <c:v>1.0825103922627597</c:v>
                </c:pt>
                <c:pt idx="54">
                  <c:v>1.0922749053613183</c:v>
                </c:pt>
                <c:pt idx="55">
                  <c:v>1.0771482822865173</c:v>
                </c:pt>
                <c:pt idx="56">
                  <c:v>1.0779018163106322</c:v>
                </c:pt>
                <c:pt idx="57">
                  <c:v>1.0874377522499399</c:v>
                </c:pt>
                <c:pt idx="58">
                  <c:v>1.0861766769157755</c:v>
                </c:pt>
                <c:pt idx="59">
                  <c:v>1.0836794835056653</c:v>
                </c:pt>
                <c:pt idx="60">
                  <c:v>1.0826778972964002</c:v>
                </c:pt>
                <c:pt idx="61">
                  <c:v>1.0754007265159577</c:v>
                </c:pt>
                <c:pt idx="62">
                  <c:v>1.074420004396021</c:v>
                </c:pt>
                <c:pt idx="63">
                  <c:v>1.0780018640783626</c:v>
                </c:pt>
                <c:pt idx="64">
                  <c:v>1.0698211677138105</c:v>
                </c:pt>
                <c:pt idx="65">
                  <c:v>1.0775269967555445</c:v>
                </c:pt>
                <c:pt idx="66">
                  <c:v>1.0835423751605391</c:v>
                </c:pt>
                <c:pt idx="67">
                  <c:v>1.0800403521742714</c:v>
                </c:pt>
                <c:pt idx="68">
                  <c:v>1.0805666391186073</c:v>
                </c:pt>
                <c:pt idx="69">
                  <c:v>1.0827151868882543</c:v>
                </c:pt>
                <c:pt idx="70">
                  <c:v>1.0869213869610825</c:v>
                </c:pt>
                <c:pt idx="71">
                  <c:v>1.0787730431323668</c:v>
                </c:pt>
                <c:pt idx="72">
                  <c:v>1.0709318523472928</c:v>
                </c:pt>
                <c:pt idx="73">
                  <c:v>1.0716142078696957</c:v>
                </c:pt>
                <c:pt idx="74">
                  <c:v>1.0762683352315798</c:v>
                </c:pt>
                <c:pt idx="75">
                  <c:v>1.0712023135649336</c:v>
                </c:pt>
                <c:pt idx="76">
                  <c:v>1.0758991183107054</c:v>
                </c:pt>
                <c:pt idx="77">
                  <c:v>1.074790960596314</c:v>
                </c:pt>
                <c:pt idx="78">
                  <c:v>1.0799618154620809</c:v>
                </c:pt>
                <c:pt idx="79">
                  <c:v>1.0918487114730528</c:v>
                </c:pt>
                <c:pt idx="80">
                  <c:v>1.1037864045004098</c:v>
                </c:pt>
                <c:pt idx="81">
                  <c:v>1.1005362170819206</c:v>
                </c:pt>
                <c:pt idx="82">
                  <c:v>1.1046927006882048</c:v>
                </c:pt>
                <c:pt idx="83">
                  <c:v>1.1002845751637844</c:v>
                </c:pt>
                <c:pt idx="84">
                  <c:v>1.0972811995947291</c:v>
                </c:pt>
                <c:pt idx="85">
                  <c:v>1.0957924226683671</c:v>
                </c:pt>
                <c:pt idx="86">
                  <c:v>1.0919789333630343</c:v>
                </c:pt>
                <c:pt idx="87">
                  <c:v>1.0864698182628081</c:v>
                </c:pt>
                <c:pt idx="88">
                  <c:v>1.0888514419532414</c:v>
                </c:pt>
                <c:pt idx="89">
                  <c:v>1.0828873728644395</c:v>
                </c:pt>
                <c:pt idx="90">
                  <c:v>1.0812101852511427</c:v>
                </c:pt>
                <c:pt idx="91">
                  <c:v>1.0781778167159874</c:v>
                </c:pt>
                <c:pt idx="92">
                  <c:v>1.0776264488060372</c:v>
                </c:pt>
                <c:pt idx="93">
                  <c:v>1.0797039604931384</c:v>
                </c:pt>
                <c:pt idx="94">
                  <c:v>1.0788152757625584</c:v>
                </c:pt>
                <c:pt idx="95">
                  <c:v>1.0795640599978331</c:v>
                </c:pt>
                <c:pt idx="96">
                  <c:v>1.0840523300069622</c:v>
                </c:pt>
                <c:pt idx="97">
                  <c:v>1.091202913516977</c:v>
                </c:pt>
                <c:pt idx="98">
                  <c:v>1.0817021901108785</c:v>
                </c:pt>
                <c:pt idx="99">
                  <c:v>1.0833064574442173</c:v>
                </c:pt>
                <c:pt idx="100">
                  <c:v>1.0887947382381271</c:v>
                </c:pt>
                <c:pt idx="101">
                  <c:v>1.0765987101116872</c:v>
                </c:pt>
                <c:pt idx="102">
                  <c:v>1.0837426367309924</c:v>
                </c:pt>
                <c:pt idx="103">
                  <c:v>1.0796065056335806</c:v>
                </c:pt>
                <c:pt idx="104">
                  <c:v>1.0755432078610356</c:v>
                </c:pt>
                <c:pt idx="105">
                  <c:v>1.0827767510217734</c:v>
                </c:pt>
                <c:pt idx="106">
                  <c:v>1.0959728735081842</c:v>
                </c:pt>
                <c:pt idx="107">
                  <c:v>1.0894548558099109</c:v>
                </c:pt>
                <c:pt idx="108">
                  <c:v>1.091742342122574</c:v>
                </c:pt>
                <c:pt idx="109">
                  <c:v>1.0876232108671449</c:v>
                </c:pt>
                <c:pt idx="110">
                  <c:v>1.0867134165777874</c:v>
                </c:pt>
                <c:pt idx="111">
                  <c:v>1.0846594912680629</c:v>
                </c:pt>
                <c:pt idx="112">
                  <c:v>1.0935934451426434</c:v>
                </c:pt>
                <c:pt idx="113">
                  <c:v>1.0938682324134628</c:v>
                </c:pt>
                <c:pt idx="114">
                  <c:v>1.0984568997689721</c:v>
                </c:pt>
                <c:pt idx="115">
                  <c:v>1.0977878437721438</c:v>
                </c:pt>
                <c:pt idx="116">
                  <c:v>1.0846571485261187</c:v>
                </c:pt>
                <c:pt idx="117">
                  <c:v>1.0883496454679817</c:v>
                </c:pt>
                <c:pt idx="118">
                  <c:v>1.0717051283070966</c:v>
                </c:pt>
                <c:pt idx="119">
                  <c:v>1.0697772437093784</c:v>
                </c:pt>
                <c:pt idx="120">
                  <c:v>1.0668969261907075</c:v>
                </c:pt>
                <c:pt idx="121">
                  <c:v>1.0669475119180556</c:v>
                </c:pt>
                <c:pt idx="122">
                  <c:v>1.0649613429437399</c:v>
                </c:pt>
                <c:pt idx="123">
                  <c:v>1.0722214042210549</c:v>
                </c:pt>
                <c:pt idx="124">
                  <c:v>1.0867798216787807</c:v>
                </c:pt>
                <c:pt idx="125">
                  <c:v>1.0917848645327259</c:v>
                </c:pt>
                <c:pt idx="126">
                  <c:v>1.0815540188124753</c:v>
                </c:pt>
                <c:pt idx="127">
                  <c:v>1.0855215949657135</c:v>
                </c:pt>
                <c:pt idx="128">
                  <c:v>1.0857120366797519</c:v>
                </c:pt>
                <c:pt idx="129">
                  <c:v>1.0882150523695315</c:v>
                </c:pt>
                <c:pt idx="130">
                  <c:v>1.0891292628381468</c:v>
                </c:pt>
                <c:pt idx="131">
                  <c:v>1.1004181137694988</c:v>
                </c:pt>
                <c:pt idx="132">
                  <c:v>1.1102930933556792</c:v>
                </c:pt>
                <c:pt idx="133">
                  <c:v>1.095202002836531</c:v>
                </c:pt>
                <c:pt idx="134">
                  <c:v>1.0958204234380213</c:v>
                </c:pt>
                <c:pt idx="135">
                  <c:v>1.0931145803390547</c:v>
                </c:pt>
                <c:pt idx="136">
                  <c:v>1.0866368042206591</c:v>
                </c:pt>
                <c:pt idx="137">
                  <c:v>1.0949828642501405</c:v>
                </c:pt>
                <c:pt idx="138">
                  <c:v>1.0851498446292303</c:v>
                </c:pt>
                <c:pt idx="139">
                  <c:v>1.1022803034362489</c:v>
                </c:pt>
                <c:pt idx="140">
                  <c:v>1.1059036256677521</c:v>
                </c:pt>
                <c:pt idx="141">
                  <c:v>1.1113451450602041</c:v>
                </c:pt>
                <c:pt idx="142">
                  <c:v>1.1134030167758213</c:v>
                </c:pt>
                <c:pt idx="143">
                  <c:v>1.1016956507062197</c:v>
                </c:pt>
                <c:pt idx="144">
                  <c:v>1.0956302752616176</c:v>
                </c:pt>
                <c:pt idx="145">
                  <c:v>1.1020620715112559</c:v>
                </c:pt>
                <c:pt idx="146">
                  <c:v>1.1119299592953553</c:v>
                </c:pt>
                <c:pt idx="147">
                  <c:v>1.1102058542254305</c:v>
                </c:pt>
                <c:pt idx="148">
                  <c:v>1.1103050483799524</c:v>
                </c:pt>
                <c:pt idx="149">
                  <c:v>1.1085854666343551</c:v>
                </c:pt>
                <c:pt idx="150">
                  <c:v>1.1105461936492116</c:v>
                </c:pt>
                <c:pt idx="151">
                  <c:v>1.1068357049485051</c:v>
                </c:pt>
                <c:pt idx="152">
                  <c:v>1.1173728760340775</c:v>
                </c:pt>
                <c:pt idx="153">
                  <c:v>1.1017181103862892</c:v>
                </c:pt>
                <c:pt idx="154">
                  <c:v>1.1057625779043312</c:v>
                </c:pt>
                <c:pt idx="155">
                  <c:v>1.1027162382099533</c:v>
                </c:pt>
                <c:pt idx="156">
                  <c:v>1.0996486433561656</c:v>
                </c:pt>
                <c:pt idx="157">
                  <c:v>1.0917495495690654</c:v>
                </c:pt>
                <c:pt idx="158">
                  <c:v>1.0902467868301109</c:v>
                </c:pt>
                <c:pt idx="159">
                  <c:v>1.0886241658994216</c:v>
                </c:pt>
                <c:pt idx="160">
                  <c:v>1.0759266222063189</c:v>
                </c:pt>
                <c:pt idx="161">
                  <c:v>1.0638961118493395</c:v>
                </c:pt>
                <c:pt idx="162">
                  <c:v>1.0602497162880198</c:v>
                </c:pt>
                <c:pt idx="163">
                  <c:v>1.0408374441248871</c:v>
                </c:pt>
                <c:pt idx="164">
                  <c:v>1.036478364330383</c:v>
                </c:pt>
                <c:pt idx="165">
                  <c:v>1.0461880374444628</c:v>
                </c:pt>
                <c:pt idx="166">
                  <c:v>1.0501900707769005</c:v>
                </c:pt>
                <c:pt idx="167">
                  <c:v>1.0523829357790362</c:v>
                </c:pt>
                <c:pt idx="168">
                  <c:v>1.0460691869926582</c:v>
                </c:pt>
                <c:pt idx="169">
                  <c:v>1.0245786957243623</c:v>
                </c:pt>
                <c:pt idx="170">
                  <c:v>1.0042311083419959</c:v>
                </c:pt>
                <c:pt idx="171">
                  <c:v>1.0177952891221043</c:v>
                </c:pt>
                <c:pt idx="172">
                  <c:v>1.0356334059213654</c:v>
                </c:pt>
                <c:pt idx="173">
                  <c:v>1.0489216078572201</c:v>
                </c:pt>
                <c:pt idx="174">
                  <c:v>1.0500423729400372</c:v>
                </c:pt>
                <c:pt idx="175">
                  <c:v>1.0343043099247977</c:v>
                </c:pt>
                <c:pt idx="176">
                  <c:v>1.0183150421955776</c:v>
                </c:pt>
                <c:pt idx="177">
                  <c:v>1.0234272507700026</c:v>
                </c:pt>
                <c:pt idx="178">
                  <c:v>1.0022043103180058</c:v>
                </c:pt>
                <c:pt idx="179">
                  <c:v>1.0035112498791068</c:v>
                </c:pt>
                <c:pt idx="180">
                  <c:v>1.0018495687634139</c:v>
                </c:pt>
                <c:pt idx="181">
                  <c:v>1.0104724990810365</c:v>
                </c:pt>
                <c:pt idx="182">
                  <c:v>0.98909904333407495</c:v>
                </c:pt>
                <c:pt idx="183">
                  <c:v>0.97032913482995731</c:v>
                </c:pt>
                <c:pt idx="184">
                  <c:v>0.96984852703561375</c:v>
                </c:pt>
                <c:pt idx="185">
                  <c:v>1.0063930889321508</c:v>
                </c:pt>
                <c:pt idx="186">
                  <c:v>0.99611586065648949</c:v>
                </c:pt>
                <c:pt idx="187">
                  <c:v>0.99995773835841761</c:v>
                </c:pt>
                <c:pt idx="188">
                  <c:v>1.0051514509466066</c:v>
                </c:pt>
                <c:pt idx="189">
                  <c:v>1.0005429830811297</c:v>
                </c:pt>
                <c:pt idx="190">
                  <c:v>1.0077651296369141</c:v>
                </c:pt>
                <c:pt idx="191">
                  <c:v>1.0098448843032974</c:v>
                </c:pt>
                <c:pt idx="192">
                  <c:v>1.0202316372595999</c:v>
                </c:pt>
                <c:pt idx="193">
                  <c:v>1.0120765082890932</c:v>
                </c:pt>
                <c:pt idx="194">
                  <c:v>1.0053004502733882</c:v>
                </c:pt>
                <c:pt idx="195">
                  <c:v>1.0055283410460465</c:v>
                </c:pt>
                <c:pt idx="196">
                  <c:v>0.9990652208735985</c:v>
                </c:pt>
                <c:pt idx="197">
                  <c:v>1.0083726580687067</c:v>
                </c:pt>
                <c:pt idx="198">
                  <c:v>1.0011621605214975</c:v>
                </c:pt>
                <c:pt idx="199">
                  <c:v>1.0065347618792504</c:v>
                </c:pt>
                <c:pt idx="200">
                  <c:v>1.0001231733962153</c:v>
                </c:pt>
                <c:pt idx="201">
                  <c:v>0.99870072595131743</c:v>
                </c:pt>
                <c:pt idx="202">
                  <c:v>0.99617580338284961</c:v>
                </c:pt>
                <c:pt idx="203">
                  <c:v>0.9994777206079698</c:v>
                </c:pt>
                <c:pt idx="204">
                  <c:v>1.0013169239678303</c:v>
                </c:pt>
                <c:pt idx="205">
                  <c:v>1.0123583206688478</c:v>
                </c:pt>
                <c:pt idx="206">
                  <c:v>0.99860935057450051</c:v>
                </c:pt>
                <c:pt idx="207">
                  <c:v>0.99259595473283346</c:v>
                </c:pt>
                <c:pt idx="208">
                  <c:v>0.98698796674561995</c:v>
                </c:pt>
                <c:pt idx="209">
                  <c:v>0.98910952941186048</c:v>
                </c:pt>
                <c:pt idx="210">
                  <c:v>1.0110919188939462</c:v>
                </c:pt>
                <c:pt idx="211">
                  <c:v>1.0114772004742425</c:v>
                </c:pt>
                <c:pt idx="212">
                  <c:v>1.0113157068533787</c:v>
                </c:pt>
                <c:pt idx="213">
                  <c:v>1.0174380230572138</c:v>
                </c:pt>
                <c:pt idx="214">
                  <c:v>1.0200158222911413</c:v>
                </c:pt>
                <c:pt idx="215">
                  <c:v>1.0127198109184958</c:v>
                </c:pt>
                <c:pt idx="216">
                  <c:v>1.0144924842686907</c:v>
                </c:pt>
                <c:pt idx="217">
                  <c:v>1.0168838809896834</c:v>
                </c:pt>
                <c:pt idx="218">
                  <c:v>1.0082402638004684</c:v>
                </c:pt>
                <c:pt idx="219">
                  <c:v>1.0170617363771679</c:v>
                </c:pt>
                <c:pt idx="220">
                  <c:v>1.0202187771298739</c:v>
                </c:pt>
                <c:pt idx="221">
                  <c:v>1.0271666723380197</c:v>
                </c:pt>
                <c:pt idx="222">
                  <c:v>1.0286036462674131</c:v>
                </c:pt>
                <c:pt idx="223">
                  <c:v>1.0317674892991022</c:v>
                </c:pt>
                <c:pt idx="224">
                  <c:v>1.0323406280603795</c:v>
                </c:pt>
                <c:pt idx="225">
                  <c:v>1.0414729817470292</c:v>
                </c:pt>
                <c:pt idx="226">
                  <c:v>1.0491261922244672</c:v>
                </c:pt>
                <c:pt idx="227">
                  <c:v>1.0486587052216767</c:v>
                </c:pt>
                <c:pt idx="228">
                  <c:v>1.0471325838185508</c:v>
                </c:pt>
                <c:pt idx="229">
                  <c:v>1.0552626972016217</c:v>
                </c:pt>
                <c:pt idx="230">
                  <c:v>1.0477981500302624</c:v>
                </c:pt>
                <c:pt idx="231">
                  <c:v>1.0301998161958998</c:v>
                </c:pt>
                <c:pt idx="232">
                  <c:v>1.0324406356191485</c:v>
                </c:pt>
                <c:pt idx="233">
                  <c:v>1.0111479200517546</c:v>
                </c:pt>
                <c:pt idx="234">
                  <c:v>1.0111313564377391</c:v>
                </c:pt>
                <c:pt idx="235">
                  <c:v>1.0059599865342277</c:v>
                </c:pt>
                <c:pt idx="236">
                  <c:v>1.0162472266147071</c:v>
                </c:pt>
                <c:pt idx="237">
                  <c:v>1.0268067187499548</c:v>
                </c:pt>
                <c:pt idx="238">
                  <c:v>1.0260744783458426</c:v>
                </c:pt>
                <c:pt idx="239">
                  <c:v>1.0159439743150878</c:v>
                </c:pt>
                <c:pt idx="240">
                  <c:v>1.0155503821456238</c:v>
                </c:pt>
                <c:pt idx="241">
                  <c:v>1.0259932126138693</c:v>
                </c:pt>
                <c:pt idx="242">
                  <c:v>1.0177828371276139</c:v>
                </c:pt>
                <c:pt idx="243">
                  <c:v>1.0183508945755722</c:v>
                </c:pt>
                <c:pt idx="244">
                  <c:v>1.0218785323974913</c:v>
                </c:pt>
                <c:pt idx="245">
                  <c:v>1.0093749737027062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30-485C-979B-36AA21D13D81}"/>
            </c:ext>
          </c:extLst>
        </c:ser>
        <c:ser>
          <c:idx val="3"/>
          <c:order val="3"/>
          <c:tx>
            <c:strRef>
              <c:f>PCA!$BE$1</c:f>
              <c:strCache>
                <c:ptCount val="1"/>
                <c:pt idx="0">
                  <c:v>DRP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PCA!$BA$5:$BA$250</c:f>
              <c:numCache>
                <c:formatCode>General</c:formatCode>
                <c:ptCount val="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</c:numCache>
            </c:numRef>
          </c:xVal>
          <c:yVal>
            <c:numRef>
              <c:f>PCA!$BE$5:$BE$250</c:f>
              <c:numCache>
                <c:formatCode>General</c:formatCode>
                <c:ptCount val="246"/>
                <c:pt idx="0">
                  <c:v>1</c:v>
                </c:pt>
                <c:pt idx="1">
                  <c:v>0.98747380819268959</c:v>
                </c:pt>
                <c:pt idx="2">
                  <c:v>0.98926706643680817</c:v>
                </c:pt>
                <c:pt idx="3">
                  <c:v>1.0087485342602511</c:v>
                </c:pt>
                <c:pt idx="4">
                  <c:v>1.0218034395270801</c:v>
                </c:pt>
                <c:pt idx="5">
                  <c:v>1.039931023748756</c:v>
                </c:pt>
                <c:pt idx="6">
                  <c:v>1.0377537220418638</c:v>
                </c:pt>
                <c:pt idx="7">
                  <c:v>1.0402860349375325</c:v>
                </c:pt>
                <c:pt idx="8">
                  <c:v>1.0469313736024035</c:v>
                </c:pt>
                <c:pt idx="9">
                  <c:v>1.0425533540190093</c:v>
                </c:pt>
                <c:pt idx="10">
                  <c:v>1.0558449461830806</c:v>
                </c:pt>
                <c:pt idx="11">
                  <c:v>1.0746457737715955</c:v>
                </c:pt>
                <c:pt idx="12">
                  <c:v>1.0633771054660197</c:v>
                </c:pt>
                <c:pt idx="13">
                  <c:v>1.0545638708199305</c:v>
                </c:pt>
                <c:pt idx="14">
                  <c:v>1.0633974726777662</c:v>
                </c:pt>
                <c:pt idx="15">
                  <c:v>1.0601231492527226</c:v>
                </c:pt>
                <c:pt idx="16">
                  <c:v>1.0774068599537228</c:v>
                </c:pt>
                <c:pt idx="17">
                  <c:v>1.0750657877776948</c:v>
                </c:pt>
                <c:pt idx="18">
                  <c:v>1.0720270983665214</c:v>
                </c:pt>
                <c:pt idx="19">
                  <c:v>1.0668787838643174</c:v>
                </c:pt>
                <c:pt idx="20">
                  <c:v>1.0643542622466471</c:v>
                </c:pt>
                <c:pt idx="21">
                  <c:v>1.0660496970289595</c:v>
                </c:pt>
                <c:pt idx="22">
                  <c:v>1.0765465212392979</c:v>
                </c:pt>
                <c:pt idx="23">
                  <c:v>1.0718751434443443</c:v>
                </c:pt>
                <c:pt idx="24">
                  <c:v>1.0767865089129545</c:v>
                </c:pt>
                <c:pt idx="25">
                  <c:v>1.0800335390268287</c:v>
                </c:pt>
                <c:pt idx="26">
                  <c:v>1.0589268060013257</c:v>
                </c:pt>
                <c:pt idx="27">
                  <c:v>1.0615846742651165</c:v>
                </c:pt>
                <c:pt idx="28">
                  <c:v>1.0566292389255021</c:v>
                </c:pt>
                <c:pt idx="29">
                  <c:v>1.0565310397725527</c:v>
                </c:pt>
                <c:pt idx="30">
                  <c:v>1.0533397312596278</c:v>
                </c:pt>
                <c:pt idx="31">
                  <c:v>1.0480461168854229</c:v>
                </c:pt>
                <c:pt idx="32">
                  <c:v>1.0433360106645531</c:v>
                </c:pt>
                <c:pt idx="33">
                  <c:v>1.0458350381735924</c:v>
                </c:pt>
                <c:pt idx="34">
                  <c:v>1.0427541328569543</c:v>
                </c:pt>
                <c:pt idx="35">
                  <c:v>1.0458913485709507</c:v>
                </c:pt>
                <c:pt idx="36">
                  <c:v>1.0405995044882592</c:v>
                </c:pt>
                <c:pt idx="37">
                  <c:v>1.0305117118420541</c:v>
                </c:pt>
                <c:pt idx="38">
                  <c:v>1.0308655717531474</c:v>
                </c:pt>
                <c:pt idx="39">
                  <c:v>1.0174933745228136</c:v>
                </c:pt>
                <c:pt idx="40">
                  <c:v>1.0145835444966669</c:v>
                </c:pt>
                <c:pt idx="41">
                  <c:v>0.9976877663993271</c:v>
                </c:pt>
                <c:pt idx="42">
                  <c:v>1.0008278681923728</c:v>
                </c:pt>
                <c:pt idx="43">
                  <c:v>0.99685484977098704</c:v>
                </c:pt>
                <c:pt idx="44">
                  <c:v>1.0123461054495615</c:v>
                </c:pt>
                <c:pt idx="45">
                  <c:v>1.0246627117799885</c:v>
                </c:pt>
                <c:pt idx="46">
                  <c:v>1.032937259113389</c:v>
                </c:pt>
                <c:pt idx="47">
                  <c:v>1.0336021987564807</c:v>
                </c:pt>
                <c:pt idx="48">
                  <c:v>1.034879883791038</c:v>
                </c:pt>
                <c:pt idx="49">
                  <c:v>1.0347441499151513</c:v>
                </c:pt>
                <c:pt idx="50">
                  <c:v>1.0325914689420548</c:v>
                </c:pt>
                <c:pt idx="51">
                  <c:v>1.0396604530998019</c:v>
                </c:pt>
                <c:pt idx="52">
                  <c:v>1.0462690045188137</c:v>
                </c:pt>
                <c:pt idx="53">
                  <c:v>1.0498358192436839</c:v>
                </c:pt>
                <c:pt idx="54">
                  <c:v>1.0664343968624663</c:v>
                </c:pt>
                <c:pt idx="55">
                  <c:v>1.0437929738874343</c:v>
                </c:pt>
                <c:pt idx="56">
                  <c:v>1.0540145357451856</c:v>
                </c:pt>
                <c:pt idx="57">
                  <c:v>1.0687777521898463</c:v>
                </c:pt>
                <c:pt idx="58">
                  <c:v>1.0742088578900542</c:v>
                </c:pt>
                <c:pt idx="59">
                  <c:v>1.0689318760195481</c:v>
                </c:pt>
                <c:pt idx="60">
                  <c:v>1.0668541846858166</c:v>
                </c:pt>
                <c:pt idx="61">
                  <c:v>1.0616003841289068</c:v>
                </c:pt>
                <c:pt idx="62">
                  <c:v>1.0530657628998077</c:v>
                </c:pt>
                <c:pt idx="63">
                  <c:v>1.0610869005715713</c:v>
                </c:pt>
                <c:pt idx="64">
                  <c:v>1.0559112355567706</c:v>
                </c:pt>
                <c:pt idx="65">
                  <c:v>1.0712810821059306</c:v>
                </c:pt>
                <c:pt idx="66">
                  <c:v>1.0749125745479153</c:v>
                </c:pt>
                <c:pt idx="67">
                  <c:v>1.0691848196294438</c:v>
                </c:pt>
                <c:pt idx="68">
                  <c:v>1.0698405868462284</c:v>
                </c:pt>
                <c:pt idx="69">
                  <c:v>1.0669693930140984</c:v>
                </c:pt>
                <c:pt idx="70">
                  <c:v>1.0666150502886913</c:v>
                </c:pt>
                <c:pt idx="71">
                  <c:v>1.0448631741787764</c:v>
                </c:pt>
                <c:pt idx="72">
                  <c:v>1.029007837640378</c:v>
                </c:pt>
                <c:pt idx="73">
                  <c:v>1.0282980140756472</c:v>
                </c:pt>
                <c:pt idx="74">
                  <c:v>1.03582057491138</c:v>
                </c:pt>
                <c:pt idx="75">
                  <c:v>1.0360733986612407</c:v>
                </c:pt>
                <c:pt idx="76">
                  <c:v>1.0404756346060198</c:v>
                </c:pt>
                <c:pt idx="77">
                  <c:v>1.0335547323538281</c:v>
                </c:pt>
                <c:pt idx="78">
                  <c:v>1.0321542538768929</c:v>
                </c:pt>
                <c:pt idx="79">
                  <c:v>1.0414271389685239</c:v>
                </c:pt>
                <c:pt idx="80">
                  <c:v>1.0386347595389238</c:v>
                </c:pt>
                <c:pt idx="81">
                  <c:v>1.0293685955123806</c:v>
                </c:pt>
                <c:pt idx="82">
                  <c:v>1.0314132735045856</c:v>
                </c:pt>
                <c:pt idx="83">
                  <c:v>1.0232045601764488</c:v>
                </c:pt>
                <c:pt idx="84">
                  <c:v>1.0230057338564549</c:v>
                </c:pt>
                <c:pt idx="85">
                  <c:v>1.0186076788731351</c:v>
                </c:pt>
                <c:pt idx="86">
                  <c:v>1.0157547830872797</c:v>
                </c:pt>
                <c:pt idx="87">
                  <c:v>1.0167156848671401</c:v>
                </c:pt>
                <c:pt idx="88">
                  <c:v>1.0169732950284129</c:v>
                </c:pt>
                <c:pt idx="89">
                  <c:v>1.0109172460036702</c:v>
                </c:pt>
                <c:pt idx="90">
                  <c:v>1.0036929804500383</c:v>
                </c:pt>
                <c:pt idx="91">
                  <c:v>0.99854383569836047</c:v>
                </c:pt>
                <c:pt idx="92">
                  <c:v>1.000267142927624</c:v>
                </c:pt>
                <c:pt idx="93">
                  <c:v>1.0029197970054706</c:v>
                </c:pt>
                <c:pt idx="94">
                  <c:v>1.0073520103379765</c:v>
                </c:pt>
                <c:pt idx="95">
                  <c:v>1.0071420513032927</c:v>
                </c:pt>
                <c:pt idx="96">
                  <c:v>1.0163944106881224</c:v>
                </c:pt>
                <c:pt idx="97">
                  <c:v>1.025656329729594</c:v>
                </c:pt>
                <c:pt idx="98">
                  <c:v>1.0125190073127346</c:v>
                </c:pt>
                <c:pt idx="99">
                  <c:v>1.0141347933694425</c:v>
                </c:pt>
                <c:pt idx="100">
                  <c:v>1.0106630171492672</c:v>
                </c:pt>
                <c:pt idx="101">
                  <c:v>1.0154855809796191</c:v>
                </c:pt>
                <c:pt idx="102">
                  <c:v>1.0218042918085546</c:v>
                </c:pt>
                <c:pt idx="103">
                  <c:v>1.0215996663770217</c:v>
                </c:pt>
                <c:pt idx="104">
                  <c:v>1.0308490559570378</c:v>
                </c:pt>
                <c:pt idx="105">
                  <c:v>1.0379141339640707</c:v>
                </c:pt>
                <c:pt idx="106">
                  <c:v>1.0681382835423878</c:v>
                </c:pt>
                <c:pt idx="107">
                  <c:v>1.0548476430830087</c:v>
                </c:pt>
                <c:pt idx="108">
                  <c:v>1.0498849483189334</c:v>
                </c:pt>
                <c:pt idx="109">
                  <c:v>1.0569769654386942</c:v>
                </c:pt>
                <c:pt idx="110">
                  <c:v>1.0456583854136454</c:v>
                </c:pt>
                <c:pt idx="111">
                  <c:v>1.0479004960213607</c:v>
                </c:pt>
                <c:pt idx="112">
                  <c:v>1.0578221379436936</c:v>
                </c:pt>
                <c:pt idx="113">
                  <c:v>1.0679558013974451</c:v>
                </c:pt>
                <c:pt idx="114">
                  <c:v>1.0738184727840248</c:v>
                </c:pt>
                <c:pt idx="115">
                  <c:v>1.0741823060675295</c:v>
                </c:pt>
                <c:pt idx="116">
                  <c:v>1.0491792099410997</c:v>
                </c:pt>
                <c:pt idx="117">
                  <c:v>1.0657821924858391</c:v>
                </c:pt>
                <c:pt idx="118">
                  <c:v>1.0513405592861178</c:v>
                </c:pt>
                <c:pt idx="119">
                  <c:v>1.0671163574327021</c:v>
                </c:pt>
                <c:pt idx="120">
                  <c:v>1.0653695893072357</c:v>
                </c:pt>
                <c:pt idx="121">
                  <c:v>1.0600870285860728</c:v>
                </c:pt>
                <c:pt idx="122">
                  <c:v>1.0509722276778362</c:v>
                </c:pt>
                <c:pt idx="123">
                  <c:v>1.0619949342618207</c:v>
                </c:pt>
                <c:pt idx="124">
                  <c:v>1.0742427028883579</c:v>
                </c:pt>
                <c:pt idx="125">
                  <c:v>1.0761431975886122</c:v>
                </c:pt>
                <c:pt idx="126">
                  <c:v>1.0829657213372823</c:v>
                </c:pt>
                <c:pt idx="127">
                  <c:v>1.0914911545305741</c:v>
                </c:pt>
                <c:pt idx="128">
                  <c:v>1.1017093491035064</c:v>
                </c:pt>
                <c:pt idx="129">
                  <c:v>1.1013032834684873</c:v>
                </c:pt>
                <c:pt idx="130">
                  <c:v>1.0927615781327193</c:v>
                </c:pt>
                <c:pt idx="131">
                  <c:v>1.0963073853973435</c:v>
                </c:pt>
                <c:pt idx="132">
                  <c:v>1.1010525995531857</c:v>
                </c:pt>
                <c:pt idx="133">
                  <c:v>1.0851053549289063</c:v>
                </c:pt>
                <c:pt idx="134">
                  <c:v>1.0779612015986135</c:v>
                </c:pt>
                <c:pt idx="135">
                  <c:v>1.0802676375681621</c:v>
                </c:pt>
                <c:pt idx="136">
                  <c:v>1.0761537970852713</c:v>
                </c:pt>
                <c:pt idx="137">
                  <c:v>1.0778129915656205</c:v>
                </c:pt>
                <c:pt idx="138">
                  <c:v>1.0650753059662132</c:v>
                </c:pt>
                <c:pt idx="139">
                  <c:v>1.0912471378155102</c:v>
                </c:pt>
                <c:pt idx="140">
                  <c:v>1.0871083921409292</c:v>
                </c:pt>
                <c:pt idx="141">
                  <c:v>1.0958666153629195</c:v>
                </c:pt>
                <c:pt idx="142">
                  <c:v>1.097670369321095</c:v>
                </c:pt>
                <c:pt idx="143">
                  <c:v>1.0928655679008008</c:v>
                </c:pt>
                <c:pt idx="144">
                  <c:v>1.0924971648218638</c:v>
                </c:pt>
                <c:pt idx="145">
                  <c:v>1.104792846337779</c:v>
                </c:pt>
                <c:pt idx="146">
                  <c:v>1.1119800511957805</c:v>
                </c:pt>
                <c:pt idx="147">
                  <c:v>1.1060632755409578</c:v>
                </c:pt>
                <c:pt idx="148">
                  <c:v>1.1096894806554862</c:v>
                </c:pt>
                <c:pt idx="149">
                  <c:v>1.1037911511794012</c:v>
                </c:pt>
                <c:pt idx="150">
                  <c:v>1.1058069502217627</c:v>
                </c:pt>
                <c:pt idx="151">
                  <c:v>1.1032190722257085</c:v>
                </c:pt>
                <c:pt idx="152">
                  <c:v>1.1192785881592029</c:v>
                </c:pt>
                <c:pt idx="153">
                  <c:v>1.1033536242604249</c:v>
                </c:pt>
                <c:pt idx="154">
                  <c:v>1.1100284030269467</c:v>
                </c:pt>
                <c:pt idx="155">
                  <c:v>1.107093187277407</c:v>
                </c:pt>
                <c:pt idx="156">
                  <c:v>1.1053711892231868</c:v>
                </c:pt>
                <c:pt idx="157">
                  <c:v>1.0976965556456189</c:v>
                </c:pt>
                <c:pt idx="158">
                  <c:v>1.1135540986060533</c:v>
                </c:pt>
                <c:pt idx="159">
                  <c:v>1.114004603216449</c:v>
                </c:pt>
                <c:pt idx="160">
                  <c:v>1.1005635849189821</c:v>
                </c:pt>
                <c:pt idx="161">
                  <c:v>1.0922079553672868</c:v>
                </c:pt>
                <c:pt idx="162">
                  <c:v>1.0985449794786217</c:v>
                </c:pt>
                <c:pt idx="163">
                  <c:v>1.0963529600789153</c:v>
                </c:pt>
                <c:pt idx="164">
                  <c:v>1.0996219846809701</c:v>
                </c:pt>
                <c:pt idx="165">
                  <c:v>1.1277608492850066</c:v>
                </c:pt>
                <c:pt idx="166">
                  <c:v>1.1251397178371836</c:v>
                </c:pt>
                <c:pt idx="167">
                  <c:v>1.1393687699863797</c:v>
                </c:pt>
                <c:pt idx="168">
                  <c:v>1.1479320265971436</c:v>
                </c:pt>
                <c:pt idx="169">
                  <c:v>1.1260693666467432</c:v>
                </c:pt>
                <c:pt idx="170">
                  <c:v>1.0863457545112727</c:v>
                </c:pt>
                <c:pt idx="171">
                  <c:v>1.0882834683473532</c:v>
                </c:pt>
                <c:pt idx="172">
                  <c:v>1.1049489339007654</c:v>
                </c:pt>
                <c:pt idx="173">
                  <c:v>1.111072311944727</c:v>
                </c:pt>
                <c:pt idx="174">
                  <c:v>1.1228392243435157</c:v>
                </c:pt>
                <c:pt idx="175">
                  <c:v>1.0972711044490726</c:v>
                </c:pt>
                <c:pt idx="176">
                  <c:v>1.0859662218275181</c:v>
                </c:pt>
                <c:pt idx="177">
                  <c:v>1.0961451221754384</c:v>
                </c:pt>
                <c:pt idx="178">
                  <c:v>1.0699195249516944</c:v>
                </c:pt>
                <c:pt idx="179">
                  <c:v>1.0710716404706506</c:v>
                </c:pt>
                <c:pt idx="180">
                  <c:v>1.0686240433131213</c:v>
                </c:pt>
                <c:pt idx="181">
                  <c:v>1.0825177441144795</c:v>
                </c:pt>
                <c:pt idx="182">
                  <c:v>1.0513140803861756</c:v>
                </c:pt>
                <c:pt idx="183">
                  <c:v>1.0290049227128431</c:v>
                </c:pt>
                <c:pt idx="184">
                  <c:v>1.0297761127286289</c:v>
                </c:pt>
                <c:pt idx="185">
                  <c:v>1.0413420024044275</c:v>
                </c:pt>
                <c:pt idx="186">
                  <c:v>1.0422025268000199</c:v>
                </c:pt>
                <c:pt idx="187">
                  <c:v>1.0446634723233799</c:v>
                </c:pt>
                <c:pt idx="188">
                  <c:v>1.0567508396224849</c:v>
                </c:pt>
                <c:pt idx="189">
                  <c:v>1.0466586263926725</c:v>
                </c:pt>
                <c:pt idx="190">
                  <c:v>1.0310663094175276</c:v>
                </c:pt>
                <c:pt idx="191">
                  <c:v>1.0413495137888908</c:v>
                </c:pt>
                <c:pt idx="192">
                  <c:v>1.0554299217337617</c:v>
                </c:pt>
                <c:pt idx="193">
                  <c:v>1.0516220038454283</c:v>
                </c:pt>
                <c:pt idx="194">
                  <c:v>1.0455475819769022</c:v>
                </c:pt>
                <c:pt idx="195">
                  <c:v>1.0487009757636436</c:v>
                </c:pt>
                <c:pt idx="196">
                  <c:v>1.0445962656806322</c:v>
                </c:pt>
                <c:pt idx="197">
                  <c:v>1.0594806896100089</c:v>
                </c:pt>
                <c:pt idx="198">
                  <c:v>1.0547010458327575</c:v>
                </c:pt>
                <c:pt idx="199">
                  <c:v>1.0622234169665734</c:v>
                </c:pt>
                <c:pt idx="200">
                  <c:v>1.0620515466764811</c:v>
                </c:pt>
                <c:pt idx="201">
                  <c:v>1.0560717625308913</c:v>
                </c:pt>
                <c:pt idx="202">
                  <c:v>1.0491765532446051</c:v>
                </c:pt>
                <c:pt idx="203">
                  <c:v>1.054488110422759</c:v>
                </c:pt>
                <c:pt idx="204">
                  <c:v>1.0546137707815042</c:v>
                </c:pt>
                <c:pt idx="205">
                  <c:v>1.0765449371447262</c:v>
                </c:pt>
                <c:pt idx="206">
                  <c:v>1.0645695463092597</c:v>
                </c:pt>
                <c:pt idx="207">
                  <c:v>1.058056921701086</c:v>
                </c:pt>
                <c:pt idx="208">
                  <c:v>1.0569036739541862</c:v>
                </c:pt>
                <c:pt idx="209">
                  <c:v>1.0678799262858072</c:v>
                </c:pt>
                <c:pt idx="210">
                  <c:v>1.0838463951732364</c:v>
                </c:pt>
                <c:pt idx="211">
                  <c:v>1.0805538582404712</c:v>
                </c:pt>
                <c:pt idx="212">
                  <c:v>1.0831737644184785</c:v>
                </c:pt>
                <c:pt idx="213">
                  <c:v>1.080767270460504</c:v>
                </c:pt>
                <c:pt idx="214">
                  <c:v>1.0710882790826963</c:v>
                </c:pt>
                <c:pt idx="215">
                  <c:v>1.0658415899813556</c:v>
                </c:pt>
                <c:pt idx="216">
                  <c:v>1.0694722566113868</c:v>
                </c:pt>
                <c:pt idx="217">
                  <c:v>1.0719901931436253</c:v>
                </c:pt>
                <c:pt idx="218">
                  <c:v>1.0580365758304693</c:v>
                </c:pt>
                <c:pt idx="219">
                  <c:v>1.0642685226752597</c:v>
                </c:pt>
                <c:pt idx="220">
                  <c:v>1.0731934374978795</c:v>
                </c:pt>
                <c:pt idx="221">
                  <c:v>1.0895985162318242</c:v>
                </c:pt>
                <c:pt idx="222">
                  <c:v>1.0965174946822567</c:v>
                </c:pt>
                <c:pt idx="223">
                  <c:v>1.1037808939889195</c:v>
                </c:pt>
                <c:pt idx="224">
                  <c:v>1.093954823812169</c:v>
                </c:pt>
                <c:pt idx="225">
                  <c:v>1.1082695532217235</c:v>
                </c:pt>
                <c:pt idx="226">
                  <c:v>1.1143502145653061</c:v>
                </c:pt>
                <c:pt idx="227">
                  <c:v>1.1080464257736291</c:v>
                </c:pt>
                <c:pt idx="228">
                  <c:v>1.1006424739491407</c:v>
                </c:pt>
                <c:pt idx="229">
                  <c:v>1.108581966926236</c:v>
                </c:pt>
                <c:pt idx="230">
                  <c:v>1.1038694543201282</c:v>
                </c:pt>
                <c:pt idx="231">
                  <c:v>1.1058043797155857</c:v>
                </c:pt>
                <c:pt idx="232">
                  <c:v>1.1110177672964459</c:v>
                </c:pt>
                <c:pt idx="233">
                  <c:v>1.0932968991621399</c:v>
                </c:pt>
                <c:pt idx="234">
                  <c:v>1.1047212392187582</c:v>
                </c:pt>
                <c:pt idx="235">
                  <c:v>1.09588622083667</c:v>
                </c:pt>
                <c:pt idx="236">
                  <c:v>1.1048286394336415</c:v>
                </c:pt>
                <c:pt idx="237">
                  <c:v>1.1108626978768732</c:v>
                </c:pt>
                <c:pt idx="238">
                  <c:v>1.1113537539790492</c:v>
                </c:pt>
                <c:pt idx="239">
                  <c:v>1.1053889284087228</c:v>
                </c:pt>
                <c:pt idx="240">
                  <c:v>1.1027426870773909</c:v>
                </c:pt>
                <c:pt idx="241">
                  <c:v>1.1080554922190291</c:v>
                </c:pt>
                <c:pt idx="242">
                  <c:v>1.0940011089722095</c:v>
                </c:pt>
                <c:pt idx="243">
                  <c:v>1.0929931757692961</c:v>
                </c:pt>
                <c:pt idx="244">
                  <c:v>1.1028823864038477</c:v>
                </c:pt>
                <c:pt idx="245">
                  <c:v>1.0885740164706625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30-485C-979B-36AA21D13D81}"/>
            </c:ext>
          </c:extLst>
        </c:ser>
        <c:ser>
          <c:idx val="4"/>
          <c:order val="4"/>
          <c:tx>
            <c:strRef>
              <c:f>PCA!$BF$1</c:f>
              <c:strCache>
                <c:ptCount val="1"/>
                <c:pt idx="0">
                  <c:v>HSI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PCA!$BA$5:$BA$250</c:f>
              <c:numCache>
                <c:formatCode>General</c:formatCode>
                <c:ptCount val="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</c:numCache>
            </c:numRef>
          </c:xVal>
          <c:yVal>
            <c:numRef>
              <c:f>PCA!$BF$5:$BF$250</c:f>
              <c:numCache>
                <c:formatCode>General</c:formatCode>
                <c:ptCount val="246"/>
                <c:pt idx="0">
                  <c:v>1</c:v>
                </c:pt>
                <c:pt idx="1">
                  <c:v>1.0254761169513427</c:v>
                </c:pt>
                <c:pt idx="2">
                  <c:v>1.0284338688447281</c:v>
                </c:pt>
                <c:pt idx="3">
                  <c:v>1.0118056603695285</c:v>
                </c:pt>
                <c:pt idx="4">
                  <c:v>0.98678188985824367</c:v>
                </c:pt>
                <c:pt idx="5">
                  <c:v>0.98328764431701354</c:v>
                </c:pt>
                <c:pt idx="6">
                  <c:v>0.97154048908296942</c:v>
                </c:pt>
                <c:pt idx="7">
                  <c:v>0.97226819289426281</c:v>
                </c:pt>
                <c:pt idx="8">
                  <c:v>0.98792612968394844</c:v>
                </c:pt>
                <c:pt idx="9">
                  <c:v>1.0006639670649928</c:v>
                </c:pt>
                <c:pt idx="10">
                  <c:v>0.98445826300847894</c:v>
                </c:pt>
                <c:pt idx="11">
                  <c:v>0.98420140036028547</c:v>
                </c:pt>
                <c:pt idx="12">
                  <c:v>0.9738745791166401</c:v>
                </c:pt>
                <c:pt idx="13">
                  <c:v>0.97580392258575643</c:v>
                </c:pt>
                <c:pt idx="14">
                  <c:v>0.96667940418949894</c:v>
                </c:pt>
                <c:pt idx="15">
                  <c:v>0.9715796890226075</c:v>
                </c:pt>
                <c:pt idx="16">
                  <c:v>0.96773013888915094</c:v>
                </c:pt>
                <c:pt idx="17">
                  <c:v>0.96122236256802518</c:v>
                </c:pt>
                <c:pt idx="18">
                  <c:v>0.96217752908221488</c:v>
                </c:pt>
                <c:pt idx="19">
                  <c:v>0.97506103988606674</c:v>
                </c:pt>
                <c:pt idx="20">
                  <c:v>0.94807358914238826</c:v>
                </c:pt>
                <c:pt idx="21">
                  <c:v>0.94558402576702161</c:v>
                </c:pt>
                <c:pt idx="22">
                  <c:v>0.9667737197883558</c:v>
                </c:pt>
                <c:pt idx="23">
                  <c:v>0.97468377749063906</c:v>
                </c:pt>
                <c:pt idx="24">
                  <c:v>0.97618339551246369</c:v>
                </c:pt>
                <c:pt idx="25">
                  <c:v>0.9983238349854282</c:v>
                </c:pt>
                <c:pt idx="26">
                  <c:v>1.000553809425901</c:v>
                </c:pt>
                <c:pt idx="27">
                  <c:v>1.0060557982777971</c:v>
                </c:pt>
                <c:pt idx="28">
                  <c:v>0.99213710009714506</c:v>
                </c:pt>
                <c:pt idx="29">
                  <c:v>1.0122059121921774</c:v>
                </c:pt>
                <c:pt idx="30">
                  <c:v>1.0149150540522698</c:v>
                </c:pt>
                <c:pt idx="31">
                  <c:v>1.0093893389042414</c:v>
                </c:pt>
                <c:pt idx="32">
                  <c:v>1.0220344081035964</c:v>
                </c:pt>
                <c:pt idx="33">
                  <c:v>1.0260231474247126</c:v>
                </c:pt>
                <c:pt idx="34">
                  <c:v>1.0188140461957802</c:v>
                </c:pt>
                <c:pt idx="35">
                  <c:v>1.0189177933545228</c:v>
                </c:pt>
                <c:pt idx="36">
                  <c:v>1.0231726058079544</c:v>
                </c:pt>
                <c:pt idx="37">
                  <c:v>1.0400818453035547</c:v>
                </c:pt>
                <c:pt idx="38">
                  <c:v>1.0403750342082676</c:v>
                </c:pt>
                <c:pt idx="39">
                  <c:v>1.0386667429239722</c:v>
                </c:pt>
                <c:pt idx="40">
                  <c:v>1.0428607659935678</c:v>
                </c:pt>
                <c:pt idx="41">
                  <c:v>1.0541643431578749</c:v>
                </c:pt>
                <c:pt idx="42">
                  <c:v>1.0537217966744321</c:v>
                </c:pt>
                <c:pt idx="43">
                  <c:v>1.0559654026993124</c:v>
                </c:pt>
                <c:pt idx="44">
                  <c:v>1.0543095744668811</c:v>
                </c:pt>
                <c:pt idx="45">
                  <c:v>1.0617612436077601</c:v>
                </c:pt>
                <c:pt idx="46">
                  <c:v>1.0627983467607307</c:v>
                </c:pt>
                <c:pt idx="47">
                  <c:v>1.0751069008460108</c:v>
                </c:pt>
                <c:pt idx="48">
                  <c:v>1.0726343584558651</c:v>
                </c:pt>
                <c:pt idx="49">
                  <c:v>1.0525937673988701</c:v>
                </c:pt>
                <c:pt idx="50">
                  <c:v>1.0694260807530158</c:v>
                </c:pt>
                <c:pt idx="51">
                  <c:v>1.0649412266309526</c:v>
                </c:pt>
                <c:pt idx="52">
                  <c:v>1.0757279100983712</c:v>
                </c:pt>
                <c:pt idx="53">
                  <c:v>1.0800992170673509</c:v>
                </c:pt>
                <c:pt idx="54">
                  <c:v>1.0871306660001698</c:v>
                </c:pt>
                <c:pt idx="55">
                  <c:v>1.0925255182547842</c:v>
                </c:pt>
                <c:pt idx="56">
                  <c:v>1.085461648334858</c:v>
                </c:pt>
                <c:pt idx="57">
                  <c:v>1.0849100494402368</c:v>
                </c:pt>
                <c:pt idx="58">
                  <c:v>1.0802221957803202</c:v>
                </c:pt>
                <c:pt idx="59">
                  <c:v>1.0869748242240185</c:v>
                </c:pt>
                <c:pt idx="60">
                  <c:v>1.092536423514765</c:v>
                </c:pt>
                <c:pt idx="61">
                  <c:v>1.0926122443905797</c:v>
                </c:pt>
                <c:pt idx="62">
                  <c:v>1.0954794385958293</c:v>
                </c:pt>
                <c:pt idx="63">
                  <c:v>1.0857403951446329</c:v>
                </c:pt>
                <c:pt idx="64">
                  <c:v>1.0649521318909334</c:v>
                </c:pt>
                <c:pt idx="65">
                  <c:v>1.0753223530232865</c:v>
                </c:pt>
                <c:pt idx="66">
                  <c:v>1.0910756369981232</c:v>
                </c:pt>
                <c:pt idx="67">
                  <c:v>1.0867967298518302</c:v>
                </c:pt>
                <c:pt idx="68">
                  <c:v>1.0884544738604318</c:v>
                </c:pt>
                <c:pt idx="69">
                  <c:v>1.0945234616088355</c:v>
                </c:pt>
                <c:pt idx="70">
                  <c:v>1.1094913471474246</c:v>
                </c:pt>
                <c:pt idx="71">
                  <c:v>1.1116519111924321</c:v>
                </c:pt>
                <c:pt idx="72">
                  <c:v>1.1061699643675666</c:v>
                </c:pt>
                <c:pt idx="73">
                  <c:v>1.0967606570779143</c:v>
                </c:pt>
                <c:pt idx="74">
                  <c:v>1.0983375696756486</c:v>
                </c:pt>
                <c:pt idx="75">
                  <c:v>1.076078719910966</c:v>
                </c:pt>
                <c:pt idx="76">
                  <c:v>1.0777220955417017</c:v>
                </c:pt>
                <c:pt idx="77">
                  <c:v>1.0838088411442368</c:v>
                </c:pt>
                <c:pt idx="78">
                  <c:v>1.0855805007403774</c:v>
                </c:pt>
                <c:pt idx="79">
                  <c:v>1.0959985428239976</c:v>
                </c:pt>
                <c:pt idx="80">
                  <c:v>1.1152638301941959</c:v>
                </c:pt>
                <c:pt idx="81">
                  <c:v>1.1176273938525092</c:v>
                </c:pt>
                <c:pt idx="82">
                  <c:v>1.1312737557414621</c:v>
                </c:pt>
                <c:pt idx="83">
                  <c:v>1.1293847911569694</c:v>
                </c:pt>
                <c:pt idx="84">
                  <c:v>1.1346977804144227</c:v>
                </c:pt>
                <c:pt idx="85">
                  <c:v>1.1377287005762684</c:v>
                </c:pt>
                <c:pt idx="86">
                  <c:v>1.1362977561187244</c:v>
                </c:pt>
                <c:pt idx="87">
                  <c:v>1.1257302090599564</c:v>
                </c:pt>
                <c:pt idx="88">
                  <c:v>1.1283827615984607</c:v>
                </c:pt>
                <c:pt idx="89">
                  <c:v>1.1246463901836323</c:v>
                </c:pt>
                <c:pt idx="90">
                  <c:v>1.1366866606053174</c:v>
                </c:pt>
                <c:pt idx="91">
                  <c:v>1.1364908820583437</c:v>
                </c:pt>
                <c:pt idx="92">
                  <c:v>1.1304011154139983</c:v>
                </c:pt>
                <c:pt idx="93">
                  <c:v>1.1304003785450876</c:v>
                </c:pt>
                <c:pt idx="94">
                  <c:v>1.1244618852933685</c:v>
                </c:pt>
                <c:pt idx="95">
                  <c:v>1.1148028627047828</c:v>
                </c:pt>
                <c:pt idx="96">
                  <c:v>1.1168856900978053</c:v>
                </c:pt>
                <c:pt idx="97">
                  <c:v>1.1277433313024041</c:v>
                </c:pt>
                <c:pt idx="98">
                  <c:v>1.1204357144878192</c:v>
                </c:pt>
                <c:pt idx="99">
                  <c:v>1.1296812958208757</c:v>
                </c:pt>
                <c:pt idx="100">
                  <c:v>1.1348637905816443</c:v>
                </c:pt>
                <c:pt idx="101">
                  <c:v>1.1019766781291558</c:v>
                </c:pt>
                <c:pt idx="102">
                  <c:v>1.1077563085251871</c:v>
                </c:pt>
                <c:pt idx="103">
                  <c:v>1.0941816412423251</c:v>
                </c:pt>
                <c:pt idx="104">
                  <c:v>1.068070220340102</c:v>
                </c:pt>
                <c:pt idx="105">
                  <c:v>1.0770932020711705</c:v>
                </c:pt>
                <c:pt idx="106">
                  <c:v>1.0609380452526245</c:v>
                </c:pt>
                <c:pt idx="107">
                  <c:v>1.0664721604119705</c:v>
                </c:pt>
                <c:pt idx="108">
                  <c:v>1.0667120757165627</c:v>
                </c:pt>
                <c:pt idx="109">
                  <c:v>1.0543148797193167</c:v>
                </c:pt>
                <c:pt idx="110">
                  <c:v>1.0483220076018374</c:v>
                </c:pt>
                <c:pt idx="111">
                  <c:v>1.0434036701594878</c:v>
                </c:pt>
                <c:pt idx="112">
                  <c:v>1.0452409085610268</c:v>
                </c:pt>
                <c:pt idx="113">
                  <c:v>1.0286863104303621</c:v>
                </c:pt>
                <c:pt idx="114">
                  <c:v>1.0319609038452471</c:v>
                </c:pt>
                <c:pt idx="115">
                  <c:v>1.029477014119045</c:v>
                </c:pt>
                <c:pt idx="116">
                  <c:v>1.0333522799664236</c:v>
                </c:pt>
                <c:pt idx="117">
                  <c:v>1.0275009549643015</c:v>
                </c:pt>
                <c:pt idx="118">
                  <c:v>1.0229424904599773</c:v>
                </c:pt>
                <c:pt idx="119">
                  <c:v>1.0148769594159976</c:v>
                </c:pt>
                <c:pt idx="120">
                  <c:v>1.0146041810104973</c:v>
                </c:pt>
                <c:pt idx="121">
                  <c:v>1.0096114963547023</c:v>
                </c:pt>
                <c:pt idx="122">
                  <c:v>1.0146637914116214</c:v>
                </c:pt>
                <c:pt idx="123">
                  <c:v>1.0172985860959944</c:v>
                </c:pt>
                <c:pt idx="124">
                  <c:v>1.0404384024823865</c:v>
                </c:pt>
                <c:pt idx="125">
                  <c:v>1.0483872916898525</c:v>
                </c:pt>
                <c:pt idx="126">
                  <c:v>1.0302455388910372</c:v>
                </c:pt>
                <c:pt idx="127">
                  <c:v>1.0297268030973243</c:v>
                </c:pt>
                <c:pt idx="128">
                  <c:v>1.0230733533533911</c:v>
                </c:pt>
                <c:pt idx="129">
                  <c:v>1.0271783661142917</c:v>
                </c:pt>
                <c:pt idx="130">
                  <c:v>1.0374251664576004</c:v>
                </c:pt>
                <c:pt idx="131">
                  <c:v>1.0639607128372961</c:v>
                </c:pt>
                <c:pt idx="132">
                  <c:v>1.0771003494581568</c:v>
                </c:pt>
                <c:pt idx="133">
                  <c:v>1.074206039518236</c:v>
                </c:pt>
                <c:pt idx="134">
                  <c:v>1.0756882680826583</c:v>
                </c:pt>
                <c:pt idx="135">
                  <c:v>1.0633510509209918</c:v>
                </c:pt>
                <c:pt idx="136">
                  <c:v>1.0647091955445311</c:v>
                </c:pt>
                <c:pt idx="137">
                  <c:v>1.0797785440312373</c:v>
                </c:pt>
                <c:pt idx="138">
                  <c:v>1.0768056868910749</c:v>
                </c:pt>
                <c:pt idx="139">
                  <c:v>1.0893663141275336</c:v>
                </c:pt>
                <c:pt idx="140">
                  <c:v>1.0885959472587172</c:v>
                </c:pt>
                <c:pt idx="141">
                  <c:v>1.0863560991445576</c:v>
                </c:pt>
                <c:pt idx="142">
                  <c:v>1.0855661323247852</c:v>
                </c:pt>
                <c:pt idx="143">
                  <c:v>1.0688481029549077</c:v>
                </c:pt>
                <c:pt idx="144">
                  <c:v>1.0607214878097089</c:v>
                </c:pt>
                <c:pt idx="145">
                  <c:v>1.0640568705329774</c:v>
                </c:pt>
                <c:pt idx="146">
                  <c:v>1.0726249268959793</c:v>
                </c:pt>
                <c:pt idx="147">
                  <c:v>1.074127123883539</c:v>
                </c:pt>
                <c:pt idx="148">
                  <c:v>1.0772682754015488</c:v>
                </c:pt>
                <c:pt idx="149">
                  <c:v>1.0797106073358673</c:v>
                </c:pt>
                <c:pt idx="150">
                  <c:v>1.0787127777641545</c:v>
                </c:pt>
                <c:pt idx="151">
                  <c:v>1.0737514088298263</c:v>
                </c:pt>
                <c:pt idx="152">
                  <c:v>1.0852103856942099</c:v>
                </c:pt>
                <c:pt idx="153">
                  <c:v>1.0703409420619276</c:v>
                </c:pt>
                <c:pt idx="154">
                  <c:v>1.0739332611127355</c:v>
                </c:pt>
                <c:pt idx="155">
                  <c:v>1.0761047304177238</c:v>
                </c:pt>
                <c:pt idx="156">
                  <c:v>1.0787554408216775</c:v>
                </c:pt>
                <c:pt idx="157">
                  <c:v>1.0713399505409</c:v>
                </c:pt>
                <c:pt idx="158">
                  <c:v>1.0603491622322616</c:v>
                </c:pt>
                <c:pt idx="159">
                  <c:v>1.0618616012902373</c:v>
                </c:pt>
                <c:pt idx="160">
                  <c:v>1.0479500504588455</c:v>
                </c:pt>
                <c:pt idx="161">
                  <c:v>1.0399501718996105</c:v>
                </c:pt>
                <c:pt idx="162">
                  <c:v>1.0155368001735408</c:v>
                </c:pt>
                <c:pt idx="163">
                  <c:v>0.98659097448763056</c:v>
                </c:pt>
                <c:pt idx="164">
                  <c:v>0.97998586148811151</c:v>
                </c:pt>
                <c:pt idx="165">
                  <c:v>0.98077015465871908</c:v>
                </c:pt>
                <c:pt idx="166">
                  <c:v>0.98543840836768004</c:v>
                </c:pt>
                <c:pt idx="167">
                  <c:v>0.97859227483565514</c:v>
                </c:pt>
                <c:pt idx="168">
                  <c:v>0.97426959936619917</c:v>
                </c:pt>
                <c:pt idx="169">
                  <c:v>0.9537684092165204</c:v>
                </c:pt>
                <c:pt idx="170">
                  <c:v>0.95455984973638797</c:v>
                </c:pt>
                <c:pt idx="171">
                  <c:v>0.96184786660001698</c:v>
                </c:pt>
                <c:pt idx="172">
                  <c:v>0.97085537468757954</c:v>
                </c:pt>
                <c:pt idx="173">
                  <c:v>0.99189224797457243</c:v>
                </c:pt>
                <c:pt idx="174">
                  <c:v>0.98961732626595111</c:v>
                </c:pt>
                <c:pt idx="175">
                  <c:v>0.99106978648834732</c:v>
                </c:pt>
                <c:pt idx="176">
                  <c:v>0.98272027702377696</c:v>
                </c:pt>
                <c:pt idx="177">
                  <c:v>0.98764767759155681</c:v>
                </c:pt>
                <c:pt idx="178">
                  <c:v>0.9688222840597206</c:v>
                </c:pt>
                <c:pt idx="179">
                  <c:v>0.96820886427042174</c:v>
                </c:pt>
                <c:pt idx="180">
                  <c:v>0.96637575217633243</c:v>
                </c:pt>
                <c:pt idx="181">
                  <c:v>0.9696963980872797</c:v>
                </c:pt>
                <c:pt idx="182">
                  <c:v>0.97049734384637865</c:v>
                </c:pt>
                <c:pt idx="183">
                  <c:v>0.96679339341865755</c:v>
                </c:pt>
                <c:pt idx="184">
                  <c:v>0.9630697693606346</c:v>
                </c:pt>
                <c:pt idx="185">
                  <c:v>1.000621746121271</c:v>
                </c:pt>
                <c:pt idx="186">
                  <c:v>1.000331209861639</c:v>
                </c:pt>
                <c:pt idx="187">
                  <c:v>1.0069419965103228</c:v>
                </c:pt>
                <c:pt idx="188">
                  <c:v>1.0065889024871024</c:v>
                </c:pt>
                <c:pt idx="189">
                  <c:v>1.0066748917917134</c:v>
                </c:pt>
                <c:pt idx="190">
                  <c:v>1.0246092239523896</c:v>
                </c:pt>
                <c:pt idx="191">
                  <c:v>1.0219144504324371</c:v>
                </c:pt>
                <c:pt idx="192">
                  <c:v>1.0319141144425477</c:v>
                </c:pt>
                <c:pt idx="193">
                  <c:v>1.023307300253709</c:v>
                </c:pt>
                <c:pt idx="194">
                  <c:v>1.0106950204759166</c:v>
                </c:pt>
                <c:pt idx="195">
                  <c:v>1.0093323074688523</c:v>
                </c:pt>
                <c:pt idx="196">
                  <c:v>0.99857391868109058</c:v>
                </c:pt>
                <c:pt idx="197">
                  <c:v>0.99731841595065407</c:v>
                </c:pt>
                <c:pt idx="198">
                  <c:v>0.98927255853697638</c:v>
                </c:pt>
                <c:pt idx="199">
                  <c:v>0.99148330142322239</c:v>
                </c:pt>
                <c:pt idx="200">
                  <c:v>0.97882047436973607</c:v>
                </c:pt>
                <c:pt idx="201">
                  <c:v>0.98246407756514853</c:v>
                </c:pt>
                <c:pt idx="202">
                  <c:v>0.97917739998302322</c:v>
                </c:pt>
                <c:pt idx="203">
                  <c:v>0.98436321054071141</c:v>
                </c:pt>
                <c:pt idx="204">
                  <c:v>0.98249274064153469</c:v>
                </c:pt>
                <c:pt idx="205">
                  <c:v>0.9850438302319221</c:v>
                </c:pt>
                <c:pt idx="206">
                  <c:v>0.97413033649919367</c:v>
                </c:pt>
                <c:pt idx="207">
                  <c:v>0.97686062572740906</c:v>
                </c:pt>
                <c:pt idx="208">
                  <c:v>0.96891586282739306</c:v>
                </c:pt>
                <c:pt idx="209">
                  <c:v>0.96986351355786737</c:v>
                </c:pt>
                <c:pt idx="210">
                  <c:v>0.99251848880002258</c:v>
                </c:pt>
                <c:pt idx="211">
                  <c:v>1.000569651466136</c:v>
                </c:pt>
                <c:pt idx="212">
                  <c:v>0.99989360023390272</c:v>
                </c:pt>
                <c:pt idx="213">
                  <c:v>1.0059429879936244</c:v>
                </c:pt>
                <c:pt idx="214">
                  <c:v>1.0128925739292822</c:v>
                </c:pt>
                <c:pt idx="215">
                  <c:v>1.0080292785045317</c:v>
                </c:pt>
                <c:pt idx="216">
                  <c:v>1.0082593938525093</c:v>
                </c:pt>
                <c:pt idx="217">
                  <c:v>1.0105425681760305</c:v>
                </c:pt>
                <c:pt idx="218">
                  <c:v>1.0022628375413809</c:v>
                </c:pt>
                <c:pt idx="219">
                  <c:v>1.010985851490658</c:v>
                </c:pt>
                <c:pt idx="220">
                  <c:v>1.0060603666990484</c:v>
                </c:pt>
                <c:pt idx="221">
                  <c:v>1.0145061075386459</c:v>
                </c:pt>
                <c:pt idx="222">
                  <c:v>1.0105637155064275</c:v>
                </c:pt>
                <c:pt idx="223">
                  <c:v>1.0060724509040151</c:v>
                </c:pt>
                <c:pt idx="224">
                  <c:v>1.0150893905514633</c:v>
                </c:pt>
                <c:pt idx="225">
                  <c:v>1.0224097547228537</c:v>
                </c:pt>
                <c:pt idx="226">
                  <c:v>1.0392560680204099</c:v>
                </c:pt>
                <c:pt idx="227">
                  <c:v>1.0443905945089458</c:v>
                </c:pt>
                <c:pt idx="228">
                  <c:v>1.0445882888320899</c:v>
                </c:pt>
                <c:pt idx="229">
                  <c:v>1.0505712872758826</c:v>
                </c:pt>
                <c:pt idx="230">
                  <c:v>1.0431735548492365</c:v>
                </c:pt>
                <c:pt idx="231">
                  <c:v>1.015837504824243</c:v>
                </c:pt>
                <c:pt idx="232">
                  <c:v>1.0210712100502704</c:v>
                </c:pt>
                <c:pt idx="233">
                  <c:v>1.0024413003480246</c:v>
                </c:pt>
                <c:pt idx="234">
                  <c:v>0.99309381395304963</c:v>
                </c:pt>
                <c:pt idx="235">
                  <c:v>0.9932058874060381</c:v>
                </c:pt>
                <c:pt idx="236">
                  <c:v>1.0065771867165909</c:v>
                </c:pt>
                <c:pt idx="237">
                  <c:v>1.0221472183877691</c:v>
                </c:pt>
                <c:pt idx="238">
                  <c:v>1.0144438444924406</c:v>
                </c:pt>
                <c:pt idx="239">
                  <c:v>0.99849588723627003</c:v>
                </c:pt>
                <c:pt idx="240">
                  <c:v>1.0033323616814585</c:v>
                </c:pt>
                <c:pt idx="241">
                  <c:v>1.0183458576777613</c:v>
                </c:pt>
                <c:pt idx="242">
                  <c:v>1.0153609900119782</c:v>
                </c:pt>
                <c:pt idx="243">
                  <c:v>1.0168730606354985</c:v>
                </c:pt>
                <c:pt idx="244">
                  <c:v>1.0145993178718629</c:v>
                </c:pt>
                <c:pt idx="245">
                  <c:v>0.99395400167881764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30-485C-979B-36AA21D13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24"/>
        <c:axId val="327320112"/>
      </c:scatterChart>
      <c:valAx>
        <c:axId val="345824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320112"/>
        <c:crosses val="autoZero"/>
        <c:crossBetween val="midCat"/>
      </c:valAx>
      <c:valAx>
        <c:axId val="327320112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.16111111111111112"/>
          <c:y val="0.54079724409448815"/>
          <c:w val="0.26125021872265974"/>
          <c:h val="0.22396106736657923"/>
        </c:manualLayout>
      </c:layout>
      <c:overlay val="1"/>
      <c:spPr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Backtest!$AB$1</c:f>
              <c:strCache>
                <c:ptCount val="1"/>
                <c:pt idx="0">
                  <c:v>EWS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Backtest!$AA$5:$AA$249</c:f>
              <c:numCache>
                <c:formatCode>General</c:formatCode>
                <c:ptCount val="2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</c:numCache>
            </c:numRef>
          </c:xVal>
          <c:yVal>
            <c:numRef>
              <c:f>Backtest!$AB$5:$AB$249</c:f>
              <c:numCache>
                <c:formatCode>General</c:formatCode>
                <c:ptCount val="245"/>
                <c:pt idx="0">
                  <c:v>1</c:v>
                </c:pt>
                <c:pt idx="1">
                  <c:v>1.0000897439097631</c:v>
                </c:pt>
                <c:pt idx="2">
                  <c:v>0.98405750073526788</c:v>
                </c:pt>
                <c:pt idx="3">
                  <c:v>0.99077768316936332</c:v>
                </c:pt>
                <c:pt idx="4">
                  <c:v>1.0007724416471306</c:v>
                </c:pt>
                <c:pt idx="5">
                  <c:v>1.0007270503903303</c:v>
                </c:pt>
                <c:pt idx="6">
                  <c:v>0.99733017891585884</c:v>
                </c:pt>
                <c:pt idx="7">
                  <c:v>0.99885890964129986</c:v>
                </c:pt>
                <c:pt idx="8">
                  <c:v>1.0132270470284064</c:v>
                </c:pt>
                <c:pt idx="9">
                  <c:v>1.0360849761802691</c:v>
                </c:pt>
                <c:pt idx="10">
                  <c:v>1.0320467142848393</c:v>
                </c:pt>
                <c:pt idx="11">
                  <c:v>1.0305539582324188</c:v>
                </c:pt>
                <c:pt idx="12">
                  <c:v>1.0251963607173622</c:v>
                </c:pt>
                <c:pt idx="13">
                  <c:v>1.0242765349747467</c:v>
                </c:pt>
                <c:pt idx="14">
                  <c:v>1.0306541758233025</c:v>
                </c:pt>
                <c:pt idx="15">
                  <c:v>1.0296695078029037</c:v>
                </c:pt>
                <c:pt idx="16">
                  <c:v>1.0289793926106918</c:v>
                </c:pt>
                <c:pt idx="17">
                  <c:v>1.0339142100017593</c:v>
                </c:pt>
                <c:pt idx="18">
                  <c:v>1.0411925652697547</c:v>
                </c:pt>
                <c:pt idx="19">
                  <c:v>1.0378189350244313</c:v>
                </c:pt>
                <c:pt idx="20">
                  <c:v>1.0400381358948658</c:v>
                </c:pt>
                <c:pt idx="21">
                  <c:v>1.0383293463680086</c:v>
                </c:pt>
                <c:pt idx="22">
                  <c:v>1.0301847058478089</c:v>
                </c:pt>
                <c:pt idx="23">
                  <c:v>1.0298314438442346</c:v>
                </c:pt>
                <c:pt idx="24">
                  <c:v>1.0236934337847479</c:v>
                </c:pt>
                <c:pt idx="25">
                  <c:v>1.0389928346965445</c:v>
                </c:pt>
                <c:pt idx="26">
                  <c:v>1.0417007187251617</c:v>
                </c:pt>
                <c:pt idx="27">
                  <c:v>1.0555741916065542</c:v>
                </c:pt>
                <c:pt idx="28">
                  <c:v>1.0586258617795761</c:v>
                </c:pt>
                <c:pt idx="29">
                  <c:v>1.0567428819889175</c:v>
                </c:pt>
                <c:pt idx="30">
                  <c:v>1.0620716850611875</c:v>
                </c:pt>
                <c:pt idx="31">
                  <c:v>1.0712103844092991</c:v>
                </c:pt>
                <c:pt idx="32">
                  <c:v>1.0660672198760972</c:v>
                </c:pt>
                <c:pt idx="33">
                  <c:v>1.0400755630577463</c:v>
                </c:pt>
                <c:pt idx="34">
                  <c:v>1.0442745304347347</c:v>
                </c:pt>
                <c:pt idx="35">
                  <c:v>1.0326358515708123</c:v>
                </c:pt>
                <c:pt idx="36">
                  <c:v>1.0317067589884257</c:v>
                </c:pt>
                <c:pt idx="37">
                  <c:v>1.0038449261307845</c:v>
                </c:pt>
                <c:pt idx="38">
                  <c:v>0.98392280587393222</c:v>
                </c:pt>
                <c:pt idx="39">
                  <c:v>0.97936818562206485</c:v>
                </c:pt>
                <c:pt idx="40">
                  <c:v>0.97215966354056926</c:v>
                </c:pt>
                <c:pt idx="41">
                  <c:v>0.97958732713823804</c:v>
                </c:pt>
                <c:pt idx="42">
                  <c:v>0.98005065165655192</c:v>
                </c:pt>
                <c:pt idx="43">
                  <c:v>1.0046933370754756</c:v>
                </c:pt>
                <c:pt idx="44">
                  <c:v>1.0057447469552205</c:v>
                </c:pt>
                <c:pt idx="45">
                  <c:v>1.0013856823572029</c:v>
                </c:pt>
                <c:pt idx="46">
                  <c:v>1.0059274829330052</c:v>
                </c:pt>
                <c:pt idx="47">
                  <c:v>1.0135072341042815</c:v>
                </c:pt>
                <c:pt idx="48">
                  <c:v>1.0145929454206202</c:v>
                </c:pt>
                <c:pt idx="49">
                  <c:v>1.0236838491845992</c:v>
                </c:pt>
                <c:pt idx="50">
                  <c:v>1.0264989109441016</c:v>
                </c:pt>
                <c:pt idx="51">
                  <c:v>1.0120469999371338</c:v>
                </c:pt>
                <c:pt idx="52">
                  <c:v>1.0130164193506388</c:v>
                </c:pt>
                <c:pt idx="53">
                  <c:v>1.006427193983831</c:v>
                </c:pt>
                <c:pt idx="54">
                  <c:v>0.99713122280010424</c:v>
                </c:pt>
                <c:pt idx="55">
                  <c:v>0.98964147242885314</c:v>
                </c:pt>
                <c:pt idx="56">
                  <c:v>0.98767872330427386</c:v>
                </c:pt>
                <c:pt idx="57">
                  <c:v>0.98684763362515615</c:v>
                </c:pt>
                <c:pt idx="58">
                  <c:v>0.99464102581863445</c:v>
                </c:pt>
                <c:pt idx="59">
                  <c:v>0.98465794804123163</c:v>
                </c:pt>
                <c:pt idx="60">
                  <c:v>0.97385709499771178</c:v>
                </c:pt>
                <c:pt idx="61">
                  <c:v>0.97650456616193138</c:v>
                </c:pt>
                <c:pt idx="62">
                  <c:v>0.97739991279081018</c:v>
                </c:pt>
                <c:pt idx="63">
                  <c:v>0.9952564760469399</c:v>
                </c:pt>
                <c:pt idx="64">
                  <c:v>0.97695500603968732</c:v>
                </c:pt>
                <c:pt idx="65">
                  <c:v>0.94025640707641389</c:v>
                </c:pt>
                <c:pt idx="66">
                  <c:v>0.94900252024675757</c:v>
                </c:pt>
                <c:pt idx="67">
                  <c:v>0.94885918099334776</c:v>
                </c:pt>
                <c:pt idx="68">
                  <c:v>0.91683124802921223</c:v>
                </c:pt>
                <c:pt idx="69">
                  <c:v>0.88966077136341415</c:v>
                </c:pt>
                <c:pt idx="70">
                  <c:v>0.86751027851702012</c:v>
                </c:pt>
                <c:pt idx="71">
                  <c:v>0.87416040515939675</c:v>
                </c:pt>
                <c:pt idx="72">
                  <c:v>0.84308881755082055</c:v>
                </c:pt>
                <c:pt idx="73">
                  <c:v>0.80586866956891479</c:v>
                </c:pt>
                <c:pt idx="74">
                  <c:v>0.81251111488671468</c:v>
                </c:pt>
                <c:pt idx="75">
                  <c:v>0.763600618259341</c:v>
                </c:pt>
                <c:pt idx="76">
                  <c:v>0.79643391680168774</c:v>
                </c:pt>
                <c:pt idx="77">
                  <c:v>0.82495690224344498</c:v>
                </c:pt>
                <c:pt idx="78">
                  <c:v>0.81744628771035655</c:v>
                </c:pt>
                <c:pt idx="79">
                  <c:v>0.82662678129948974</c:v>
                </c:pt>
                <c:pt idx="80">
                  <c:v>0.8103725273478547</c:v>
                </c:pt>
                <c:pt idx="81">
                  <c:v>0.82851500596648664</c:v>
                </c:pt>
                <c:pt idx="82">
                  <c:v>0.81938201344643968</c:v>
                </c:pt>
                <c:pt idx="83">
                  <c:v>0.82485733792464599</c:v>
                </c:pt>
                <c:pt idx="84">
                  <c:v>0.83134558037940609</c:v>
                </c:pt>
                <c:pt idx="85">
                  <c:v>0.86442502065904603</c:v>
                </c:pt>
                <c:pt idx="86">
                  <c:v>0.87967492061843611</c:v>
                </c:pt>
                <c:pt idx="87">
                  <c:v>0.87123585403618187</c:v>
                </c:pt>
                <c:pt idx="88">
                  <c:v>0.88612161096850595</c:v>
                </c:pt>
                <c:pt idx="89">
                  <c:v>0.89330172919541029</c:v>
                </c:pt>
                <c:pt idx="90">
                  <c:v>0.88790657131760109</c:v>
                </c:pt>
                <c:pt idx="91">
                  <c:v>0.88079511276007638</c:v>
                </c:pt>
                <c:pt idx="92">
                  <c:v>0.89190522867526689</c:v>
                </c:pt>
                <c:pt idx="93">
                  <c:v>0.88616855714868403</c:v>
                </c:pt>
                <c:pt idx="94">
                  <c:v>0.86773432707576315</c:v>
                </c:pt>
                <c:pt idx="95">
                  <c:v>0.86601026262831815</c:v>
                </c:pt>
                <c:pt idx="96">
                  <c:v>0.87129052718165945</c:v>
                </c:pt>
                <c:pt idx="97">
                  <c:v>0.86310318406231623</c:v>
                </c:pt>
                <c:pt idx="98">
                  <c:v>0.88105486746521677</c:v>
                </c:pt>
                <c:pt idx="99">
                  <c:v>0.89056249663348364</c:v>
                </c:pt>
                <c:pt idx="100">
                  <c:v>0.8910037638292706</c:v>
                </c:pt>
                <c:pt idx="101">
                  <c:v>0.85852041915255195</c:v>
                </c:pt>
                <c:pt idx="102">
                  <c:v>0.86815913614094808</c:v>
                </c:pt>
                <c:pt idx="103">
                  <c:v>0.87642979187099945</c:v>
                </c:pt>
                <c:pt idx="104">
                  <c:v>0.86888876327731357</c:v>
                </c:pt>
                <c:pt idx="105">
                  <c:v>0.87568951238265436</c:v>
                </c:pt>
                <c:pt idx="106">
                  <c:v>0.88246611534850483</c:v>
                </c:pt>
                <c:pt idx="107">
                  <c:v>0.86997661417520333</c:v>
                </c:pt>
                <c:pt idx="108">
                  <c:v>0.86830765682548072</c:v>
                </c:pt>
                <c:pt idx="109">
                  <c:v>0.85608254568743336</c:v>
                </c:pt>
                <c:pt idx="110">
                  <c:v>0.85273972724538882</c:v>
                </c:pt>
                <c:pt idx="111">
                  <c:v>0.85314734099294465</c:v>
                </c:pt>
                <c:pt idx="112">
                  <c:v>0.87167401149303303</c:v>
                </c:pt>
                <c:pt idx="113">
                  <c:v>0.86747888236004966</c:v>
                </c:pt>
                <c:pt idx="114">
                  <c:v>0.85697123260091956</c:v>
                </c:pt>
                <c:pt idx="115">
                  <c:v>0.79267009527340226</c:v>
                </c:pt>
                <c:pt idx="116">
                  <c:v>0.78089270170733582</c:v>
                </c:pt>
                <c:pt idx="117">
                  <c:v>0.8041331454477767</c:v>
                </c:pt>
                <c:pt idx="118">
                  <c:v>0.79569511051007102</c:v>
                </c:pt>
                <c:pt idx="119">
                  <c:v>0.78570182130039656</c:v>
                </c:pt>
                <c:pt idx="120">
                  <c:v>0.7746641353545265</c:v>
                </c:pt>
                <c:pt idx="121">
                  <c:v>0.80788311490149667</c:v>
                </c:pt>
                <c:pt idx="122">
                  <c:v>0.81833554519396412</c:v>
                </c:pt>
                <c:pt idx="123">
                  <c:v>0.82419125375116831</c:v>
                </c:pt>
                <c:pt idx="124">
                  <c:v>0.82393990879756718</c:v>
                </c:pt>
                <c:pt idx="125">
                  <c:v>0.85895879624811677</c:v>
                </c:pt>
                <c:pt idx="126">
                  <c:v>0.86885405826462581</c:v>
                </c:pt>
                <c:pt idx="127">
                  <c:v>0.88154073067349592</c:v>
                </c:pt>
                <c:pt idx="128">
                  <c:v>0.87764226341597085</c:v>
                </c:pt>
                <c:pt idx="129">
                  <c:v>0.85548616389409282</c:v>
                </c:pt>
                <c:pt idx="130">
                  <c:v>0.85707661676484603</c:v>
                </c:pt>
                <c:pt idx="131">
                  <c:v>0.83995794436017523</c:v>
                </c:pt>
                <c:pt idx="132">
                  <c:v>0.85153839484402594</c:v>
                </c:pt>
                <c:pt idx="133">
                  <c:v>0.85761901909420768</c:v>
                </c:pt>
                <c:pt idx="134">
                  <c:v>0.85706748606129013</c:v>
                </c:pt>
                <c:pt idx="135">
                  <c:v>0.87452651858003405</c:v>
                </c:pt>
                <c:pt idx="136">
                  <c:v>0.86439505006080541</c:v>
                </c:pt>
                <c:pt idx="137">
                  <c:v>0.87339994108431085</c:v>
                </c:pt>
                <c:pt idx="138">
                  <c:v>0.86420712802461852</c:v>
                </c:pt>
                <c:pt idx="139">
                  <c:v>0.85770386392918785</c:v>
                </c:pt>
                <c:pt idx="140">
                  <c:v>0.83765155414666714</c:v>
                </c:pt>
                <c:pt idx="141">
                  <c:v>0.83959911928489928</c:v>
                </c:pt>
                <c:pt idx="142">
                  <c:v>0.87543146115427517</c:v>
                </c:pt>
                <c:pt idx="143">
                  <c:v>0.87284168204148027</c:v>
                </c:pt>
                <c:pt idx="144">
                  <c:v>0.90687560852328608</c:v>
                </c:pt>
                <c:pt idx="145">
                  <c:v>0.88220414985569273</c:v>
                </c:pt>
                <c:pt idx="146">
                  <c:v>0.88340948716899237</c:v>
                </c:pt>
                <c:pt idx="147">
                  <c:v>0.87018260902191014</c:v>
                </c:pt>
                <c:pt idx="148">
                  <c:v>0.87002123159628353</c:v>
                </c:pt>
                <c:pt idx="149">
                  <c:v>0.86426662764208428</c:v>
                </c:pt>
                <c:pt idx="150">
                  <c:v>0.85956036510458911</c:v>
                </c:pt>
                <c:pt idx="151">
                  <c:v>0.85437469992714454</c:v>
                </c:pt>
                <c:pt idx="152">
                  <c:v>0.84407918558751438</c:v>
                </c:pt>
                <c:pt idx="153">
                  <c:v>0.83809512468706371</c:v>
                </c:pt>
                <c:pt idx="154">
                  <c:v>0.83235374663716966</c:v>
                </c:pt>
                <c:pt idx="155">
                  <c:v>0.84100562737185813</c:v>
                </c:pt>
                <c:pt idx="156">
                  <c:v>0.82725487557203536</c:v>
                </c:pt>
                <c:pt idx="157">
                  <c:v>0.82410981056588639</c:v>
                </c:pt>
                <c:pt idx="158">
                  <c:v>0.82098402002172444</c:v>
                </c:pt>
                <c:pt idx="159">
                  <c:v>0.80974113561446048</c:v>
                </c:pt>
                <c:pt idx="160">
                  <c:v>0.81316537293384028</c:v>
                </c:pt>
                <c:pt idx="161">
                  <c:v>0.81663174430332675</c:v>
                </c:pt>
                <c:pt idx="162">
                  <c:v>0.82839489329724458</c:v>
                </c:pt>
                <c:pt idx="163">
                  <c:v>0.83016091635633549</c:v>
                </c:pt>
                <c:pt idx="164">
                  <c:v>0.82367961337343776</c:v>
                </c:pt>
                <c:pt idx="165">
                  <c:v>0.84026263542389912</c:v>
                </c:pt>
                <c:pt idx="166">
                  <c:v>0.8423017127660567</c:v>
                </c:pt>
                <c:pt idx="167">
                  <c:v>0.83807687413417475</c:v>
                </c:pt>
                <c:pt idx="168">
                  <c:v>0.82790863272711901</c:v>
                </c:pt>
                <c:pt idx="169">
                  <c:v>0.83070048524925577</c:v>
                </c:pt>
                <c:pt idx="170">
                  <c:v>0.84637935288935251</c:v>
                </c:pt>
                <c:pt idx="171">
                  <c:v>0.86829345826590587</c:v>
                </c:pt>
                <c:pt idx="172">
                  <c:v>0.86540458608663406</c:v>
                </c:pt>
                <c:pt idx="173">
                  <c:v>0.86454176552092621</c:v>
                </c:pt>
                <c:pt idx="174">
                  <c:v>0.86973021466884526</c:v>
                </c:pt>
                <c:pt idx="175">
                  <c:v>0.86718150079823386</c:v>
                </c:pt>
                <c:pt idx="176">
                  <c:v>0.8687231495065868</c:v>
                </c:pt>
                <c:pt idx="177">
                  <c:v>0.85402494979395138</c:v>
                </c:pt>
                <c:pt idx="178">
                  <c:v>0.86239198497790892</c:v>
                </c:pt>
                <c:pt idx="179">
                  <c:v>0.87265827817214969</c:v>
                </c:pt>
                <c:pt idx="180">
                  <c:v>0.87062048080243237</c:v>
                </c:pt>
                <c:pt idx="181">
                  <c:v>0.86767954793563151</c:v>
                </c:pt>
                <c:pt idx="182">
                  <c:v>0.85880951420956886</c:v>
                </c:pt>
                <c:pt idx="183">
                  <c:v>0.87014525705609413</c:v>
                </c:pt>
                <c:pt idx="184">
                  <c:v>0.8680726576283172</c:v>
                </c:pt>
                <c:pt idx="185">
                  <c:v>0.86047901610671063</c:v>
                </c:pt>
                <c:pt idx="186">
                  <c:v>0.85964159665423912</c:v>
                </c:pt>
                <c:pt idx="187">
                  <c:v>0.85939423605576171</c:v>
                </c:pt>
                <c:pt idx="188">
                  <c:v>0.8497491519437953</c:v>
                </c:pt>
                <c:pt idx="189">
                  <c:v>0.85057256313607976</c:v>
                </c:pt>
                <c:pt idx="190">
                  <c:v>0.85128081634015695</c:v>
                </c:pt>
                <c:pt idx="191">
                  <c:v>0.85094730312795797</c:v>
                </c:pt>
                <c:pt idx="192">
                  <c:v>0.84543319794810323</c:v>
                </c:pt>
                <c:pt idx="193">
                  <c:v>0.84423478431272414</c:v>
                </c:pt>
                <c:pt idx="194">
                  <c:v>0.8434729185340033</c:v>
                </c:pt>
                <c:pt idx="195">
                  <c:v>0.84808630825234965</c:v>
                </c:pt>
                <c:pt idx="196">
                  <c:v>0.85045018687382523</c:v>
                </c:pt>
                <c:pt idx="197">
                  <c:v>0.83984448412455437</c:v>
                </c:pt>
                <c:pt idx="198">
                  <c:v>0.84279287048164442</c:v>
                </c:pt>
                <c:pt idx="199">
                  <c:v>0.82635599242830726</c:v>
                </c:pt>
                <c:pt idx="200">
                  <c:v>0.81528473310588656</c:v>
                </c:pt>
                <c:pt idx="201">
                  <c:v>0.81565725251838772</c:v>
                </c:pt>
                <c:pt idx="202">
                  <c:v>0.80738686472180965</c:v>
                </c:pt>
                <c:pt idx="203">
                  <c:v>0.81157159978786086</c:v>
                </c:pt>
                <c:pt idx="204">
                  <c:v>0.80965478515490064</c:v>
                </c:pt>
                <c:pt idx="205">
                  <c:v>0.80453449723010317</c:v>
                </c:pt>
                <c:pt idx="206">
                  <c:v>0.81321923931883389</c:v>
                </c:pt>
                <c:pt idx="207">
                  <c:v>0.81918123194575754</c:v>
                </c:pt>
                <c:pt idx="208">
                  <c:v>0.82694293893920112</c:v>
                </c:pt>
                <c:pt idx="209">
                  <c:v>0.83965935905899047</c:v>
                </c:pt>
                <c:pt idx="210">
                  <c:v>0.83214107897111023</c:v>
                </c:pt>
                <c:pt idx="211">
                  <c:v>0.82584763586390442</c:v>
                </c:pt>
                <c:pt idx="212">
                  <c:v>0.83437884596220857</c:v>
                </c:pt>
                <c:pt idx="213">
                  <c:v>0.83263649637935133</c:v>
                </c:pt>
                <c:pt idx="214">
                  <c:v>0.82182974259500463</c:v>
                </c:pt>
                <c:pt idx="215">
                  <c:v>0.81967664669346896</c:v>
                </c:pt>
                <c:pt idx="216">
                  <c:v>0.82473683948584453</c:v>
                </c:pt>
                <c:pt idx="217">
                  <c:v>0.82389415068344918</c:v>
                </c:pt>
                <c:pt idx="218">
                  <c:v>0.81983236483718169</c:v>
                </c:pt>
                <c:pt idx="219">
                  <c:v>0.81967804851992743</c:v>
                </c:pt>
                <c:pt idx="220">
                  <c:v>0.82932066184509912</c:v>
                </c:pt>
                <c:pt idx="221">
                  <c:v>0.82654445428914236</c:v>
                </c:pt>
                <c:pt idx="222">
                  <c:v>0.81680919351018311</c:v>
                </c:pt>
                <c:pt idx="223">
                  <c:v>0.81417717907963072</c:v>
                </c:pt>
                <c:pt idx="224">
                  <c:v>0.8093009298271997</c:v>
                </c:pt>
                <c:pt idx="225">
                  <c:v>0.80709266854902506</c:v>
                </c:pt>
                <c:pt idx="226">
                  <c:v>0.82224088481086832</c:v>
                </c:pt>
                <c:pt idx="227">
                  <c:v>0.82532128706441055</c:v>
                </c:pt>
                <c:pt idx="228">
                  <c:v>0.8414441242409495</c:v>
                </c:pt>
                <c:pt idx="229">
                  <c:v>0.84460618895164818</c:v>
                </c:pt>
                <c:pt idx="230">
                  <c:v>0.8381675351747695</c:v>
                </c:pt>
                <c:pt idx="231">
                  <c:v>0.87512059563734501</c:v>
                </c:pt>
                <c:pt idx="232">
                  <c:v>0.9047253516132906</c:v>
                </c:pt>
                <c:pt idx="233">
                  <c:v>0.88873264445004319</c:v>
                </c:pt>
                <c:pt idx="234">
                  <c:v>0.8842612433467173</c:v>
                </c:pt>
                <c:pt idx="235">
                  <c:v>0.88539046198409233</c:v>
                </c:pt>
                <c:pt idx="236">
                  <c:v>0.89969475959877754</c:v>
                </c:pt>
                <c:pt idx="237">
                  <c:v>0.90140091690349977</c:v>
                </c:pt>
                <c:pt idx="238">
                  <c:v>0.90131503228232301</c:v>
                </c:pt>
                <c:pt idx="239">
                  <c:v>0.89265109527466113</c:v>
                </c:pt>
                <c:pt idx="240">
                  <c:v>0.88740600201646047</c:v>
                </c:pt>
                <c:pt idx="241">
                  <c:v>0.90111798093411877</c:v>
                </c:pt>
                <c:pt idx="242">
                  <c:v>0.91818877174194047</c:v>
                </c:pt>
                <c:pt idx="243">
                  <c:v>0.90981444179071091</c:v>
                </c:pt>
                <c:pt idx="244">
                  <c:v>0.91570087628343644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FC-4D32-BB92-436F5B8D4BAE}"/>
            </c:ext>
          </c:extLst>
        </c:ser>
        <c:ser>
          <c:idx val="1"/>
          <c:order val="1"/>
          <c:tx>
            <c:strRef>
              <c:f>Backtest!$AC$1</c:f>
              <c:strCache>
                <c:ptCount val="1"/>
                <c:pt idx="0">
                  <c:v>RP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Backtest!$AA$5:$AA$249</c:f>
              <c:numCache>
                <c:formatCode>General</c:formatCode>
                <c:ptCount val="2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</c:numCache>
            </c:numRef>
          </c:xVal>
          <c:yVal>
            <c:numRef>
              <c:f>Backtest!$AC$5:$AC$249</c:f>
              <c:numCache>
                <c:formatCode>General</c:formatCode>
                <c:ptCount val="245"/>
                <c:pt idx="0">
                  <c:v>1</c:v>
                </c:pt>
                <c:pt idx="1">
                  <c:v>1.0002155780624653</c:v>
                </c:pt>
                <c:pt idx="2">
                  <c:v>0.98507955052237361</c:v>
                </c:pt>
                <c:pt idx="3">
                  <c:v>0.99150172026896088</c:v>
                </c:pt>
                <c:pt idx="4">
                  <c:v>1.0004330279433133</c:v>
                </c:pt>
                <c:pt idx="5">
                  <c:v>0.9998888687059182</c:v>
                </c:pt>
                <c:pt idx="6">
                  <c:v>0.99635900783015063</c:v>
                </c:pt>
                <c:pt idx="7">
                  <c:v>0.99880000668431768</c:v>
                </c:pt>
                <c:pt idx="8">
                  <c:v>1.0121346142163683</c:v>
                </c:pt>
                <c:pt idx="9">
                  <c:v>1.0344531273666662</c:v>
                </c:pt>
                <c:pt idx="10">
                  <c:v>1.0323391673971993</c:v>
                </c:pt>
                <c:pt idx="11">
                  <c:v>1.0319717104088024</c:v>
                </c:pt>
                <c:pt idx="12">
                  <c:v>1.0271162735014987</c:v>
                </c:pt>
                <c:pt idx="13">
                  <c:v>1.0255913823366318</c:v>
                </c:pt>
                <c:pt idx="14">
                  <c:v>1.031220120811762</c:v>
                </c:pt>
                <c:pt idx="15">
                  <c:v>1.0308665888388571</c:v>
                </c:pt>
                <c:pt idx="16">
                  <c:v>1.0300363470724097</c:v>
                </c:pt>
                <c:pt idx="17">
                  <c:v>1.035187083062644</c:v>
                </c:pt>
                <c:pt idx="18">
                  <c:v>1.0410119778093543</c:v>
                </c:pt>
                <c:pt idx="19">
                  <c:v>1.0366198008761474</c:v>
                </c:pt>
                <c:pt idx="20">
                  <c:v>1.0391165047729245</c:v>
                </c:pt>
                <c:pt idx="21">
                  <c:v>1.0370216336281732</c:v>
                </c:pt>
                <c:pt idx="22">
                  <c:v>1.0298245589685435</c:v>
                </c:pt>
                <c:pt idx="23">
                  <c:v>1.0303432387113565</c:v>
                </c:pt>
                <c:pt idx="24">
                  <c:v>1.0244628198447945</c:v>
                </c:pt>
                <c:pt idx="25">
                  <c:v>1.0378687063787306</c:v>
                </c:pt>
                <c:pt idx="26">
                  <c:v>1.0401669843021333</c:v>
                </c:pt>
                <c:pt idx="27">
                  <c:v>1.0529774593696939</c:v>
                </c:pt>
                <c:pt idx="28">
                  <c:v>1.0555747988188384</c:v>
                </c:pt>
                <c:pt idx="29">
                  <c:v>1.0538730361500561</c:v>
                </c:pt>
                <c:pt idx="30">
                  <c:v>1.0586585085939184</c:v>
                </c:pt>
                <c:pt idx="31">
                  <c:v>1.0674460832371198</c:v>
                </c:pt>
                <c:pt idx="32">
                  <c:v>1.0623080134406004</c:v>
                </c:pt>
                <c:pt idx="33">
                  <c:v>1.0389942086339199</c:v>
                </c:pt>
                <c:pt idx="34">
                  <c:v>1.0437078147663759</c:v>
                </c:pt>
                <c:pt idx="35">
                  <c:v>1.0332374901670167</c:v>
                </c:pt>
                <c:pt idx="36">
                  <c:v>1.0325355623977497</c:v>
                </c:pt>
                <c:pt idx="37">
                  <c:v>1.0067812115571344</c:v>
                </c:pt>
                <c:pt idx="38">
                  <c:v>0.98834499472040538</c:v>
                </c:pt>
                <c:pt idx="39">
                  <c:v>0.98504029670077531</c:v>
                </c:pt>
                <c:pt idx="40">
                  <c:v>0.97750811014711614</c:v>
                </c:pt>
                <c:pt idx="41">
                  <c:v>0.98244945024392216</c:v>
                </c:pt>
                <c:pt idx="42">
                  <c:v>0.98332160362416443</c:v>
                </c:pt>
                <c:pt idx="43">
                  <c:v>1.0078447191536091</c:v>
                </c:pt>
                <c:pt idx="44">
                  <c:v>1.008154788336594</c:v>
                </c:pt>
                <c:pt idx="45">
                  <c:v>1.0038651625027399</c:v>
                </c:pt>
                <c:pt idx="46">
                  <c:v>1.0088400746747026</c:v>
                </c:pt>
                <c:pt idx="47">
                  <c:v>1.0159701745268419</c:v>
                </c:pt>
                <c:pt idx="48">
                  <c:v>1.0168328588598143</c:v>
                </c:pt>
                <c:pt idx="49">
                  <c:v>1.0246397128828695</c:v>
                </c:pt>
                <c:pt idx="50">
                  <c:v>1.0273003467569322</c:v>
                </c:pt>
                <c:pt idx="51">
                  <c:v>1.0127991349295755</c:v>
                </c:pt>
                <c:pt idx="52">
                  <c:v>1.0132714632963093</c:v>
                </c:pt>
                <c:pt idx="53">
                  <c:v>1.0082924206923103</c:v>
                </c:pt>
                <c:pt idx="54">
                  <c:v>1.0002011345898028</c:v>
                </c:pt>
                <c:pt idx="55">
                  <c:v>0.99482112674843826</c:v>
                </c:pt>
                <c:pt idx="56">
                  <c:v>0.9917293054057692</c:v>
                </c:pt>
                <c:pt idx="57">
                  <c:v>0.99020706756970267</c:v>
                </c:pt>
                <c:pt idx="58">
                  <c:v>0.99588406433708898</c:v>
                </c:pt>
                <c:pt idx="59">
                  <c:v>0.98576610151652933</c:v>
                </c:pt>
                <c:pt idx="60">
                  <c:v>0.97547113363674554</c:v>
                </c:pt>
                <c:pt idx="61">
                  <c:v>0.97768625634846407</c:v>
                </c:pt>
                <c:pt idx="62">
                  <c:v>0.97754001364075627</c:v>
                </c:pt>
                <c:pt idx="63">
                  <c:v>0.99588090782395999</c:v>
                </c:pt>
                <c:pt idx="64">
                  <c:v>0.97907637248394475</c:v>
                </c:pt>
                <c:pt idx="65">
                  <c:v>0.94556202000452916</c:v>
                </c:pt>
                <c:pt idx="66">
                  <c:v>0.95498856779528862</c:v>
                </c:pt>
                <c:pt idx="67">
                  <c:v>0.95556074101342037</c:v>
                </c:pt>
                <c:pt idx="68">
                  <c:v>0.92407137852878052</c:v>
                </c:pt>
                <c:pt idx="69">
                  <c:v>0.89586646280653015</c:v>
                </c:pt>
                <c:pt idx="70">
                  <c:v>0.87314576142992295</c:v>
                </c:pt>
                <c:pt idx="71">
                  <c:v>0.87855989891897557</c:v>
                </c:pt>
                <c:pt idx="72">
                  <c:v>0.85186536257897938</c:v>
                </c:pt>
                <c:pt idx="73">
                  <c:v>0.81313359898649962</c:v>
                </c:pt>
                <c:pt idx="74">
                  <c:v>0.81705261780231164</c:v>
                </c:pt>
                <c:pt idx="75">
                  <c:v>0.76533416010084776</c:v>
                </c:pt>
                <c:pt idx="76">
                  <c:v>0.7970705293126934</c:v>
                </c:pt>
                <c:pt idx="77">
                  <c:v>0.82505936350796316</c:v>
                </c:pt>
                <c:pt idx="78">
                  <c:v>0.8178854628174661</c:v>
                </c:pt>
                <c:pt idx="79">
                  <c:v>0.8275601224390684</c:v>
                </c:pt>
                <c:pt idx="80">
                  <c:v>0.81119974779258874</c:v>
                </c:pt>
                <c:pt idx="81">
                  <c:v>0.82871438676358977</c:v>
                </c:pt>
                <c:pt idx="82">
                  <c:v>0.81672804556845657</c:v>
                </c:pt>
                <c:pt idx="83">
                  <c:v>0.82154501190201779</c:v>
                </c:pt>
                <c:pt idx="84">
                  <c:v>0.8295354585789434</c:v>
                </c:pt>
                <c:pt idx="85">
                  <c:v>0.86323310914145379</c:v>
                </c:pt>
                <c:pt idx="86">
                  <c:v>0.87911783105988728</c:v>
                </c:pt>
                <c:pt idx="87">
                  <c:v>0.87035558704790728</c:v>
                </c:pt>
                <c:pt idx="88">
                  <c:v>0.88555176826504189</c:v>
                </c:pt>
                <c:pt idx="89">
                  <c:v>0.89513055866089319</c:v>
                </c:pt>
                <c:pt idx="90">
                  <c:v>0.89007197307610253</c:v>
                </c:pt>
                <c:pt idx="91">
                  <c:v>0.88220275958105476</c:v>
                </c:pt>
                <c:pt idx="92">
                  <c:v>0.89146949190466185</c:v>
                </c:pt>
                <c:pt idx="93">
                  <c:v>0.88609477092615174</c:v>
                </c:pt>
                <c:pt idx="94">
                  <c:v>0.86841785985413822</c:v>
                </c:pt>
                <c:pt idx="95">
                  <c:v>0.86804820112096859</c:v>
                </c:pt>
                <c:pt idx="96">
                  <c:v>0.87307160565629149</c:v>
                </c:pt>
                <c:pt idx="97">
                  <c:v>0.86508495588093282</c:v>
                </c:pt>
                <c:pt idx="98">
                  <c:v>0.88118813676657315</c:v>
                </c:pt>
                <c:pt idx="99">
                  <c:v>0.88995717044522782</c:v>
                </c:pt>
                <c:pt idx="100">
                  <c:v>0.8903452389990234</c:v>
                </c:pt>
                <c:pt idx="101">
                  <c:v>0.85884936309189619</c:v>
                </c:pt>
                <c:pt idx="102">
                  <c:v>0.86727726057685972</c:v>
                </c:pt>
                <c:pt idx="103">
                  <c:v>0.87557559668898166</c:v>
                </c:pt>
                <c:pt idx="104">
                  <c:v>0.86714630894170364</c:v>
                </c:pt>
                <c:pt idx="105">
                  <c:v>0.87394087681078125</c:v>
                </c:pt>
                <c:pt idx="106">
                  <c:v>0.8803868855479029</c:v>
                </c:pt>
                <c:pt idx="107">
                  <c:v>0.86859483712994057</c:v>
                </c:pt>
                <c:pt idx="108">
                  <c:v>0.86747677602884132</c:v>
                </c:pt>
                <c:pt idx="109">
                  <c:v>0.85596700873338438</c:v>
                </c:pt>
                <c:pt idx="110">
                  <c:v>0.85339668268659274</c:v>
                </c:pt>
                <c:pt idx="111">
                  <c:v>0.85345303810509598</c:v>
                </c:pt>
                <c:pt idx="112">
                  <c:v>0.8708274937981253</c:v>
                </c:pt>
                <c:pt idx="113">
                  <c:v>0.86727007197657779</c:v>
                </c:pt>
                <c:pt idx="114">
                  <c:v>0.85639450502350811</c:v>
                </c:pt>
                <c:pt idx="115">
                  <c:v>0.7958571813445201</c:v>
                </c:pt>
                <c:pt idx="116">
                  <c:v>0.78424602588685044</c:v>
                </c:pt>
                <c:pt idx="117">
                  <c:v>0.80671868966863147</c:v>
                </c:pt>
                <c:pt idx="118">
                  <c:v>0.79742035991118809</c:v>
                </c:pt>
                <c:pt idx="119">
                  <c:v>0.78837770126058704</c:v>
                </c:pt>
                <c:pt idx="120">
                  <c:v>0.77891629304808696</c:v>
                </c:pt>
                <c:pt idx="121">
                  <c:v>0.80957721672033811</c:v>
                </c:pt>
                <c:pt idx="122">
                  <c:v>0.81899455522189324</c:v>
                </c:pt>
                <c:pt idx="123">
                  <c:v>0.82424476547588077</c:v>
                </c:pt>
                <c:pt idx="124">
                  <c:v>0.8240029205090984</c:v>
                </c:pt>
                <c:pt idx="125">
                  <c:v>0.85603078348675254</c:v>
                </c:pt>
                <c:pt idx="126">
                  <c:v>0.86482875942018622</c:v>
                </c:pt>
                <c:pt idx="127">
                  <c:v>0.8753227925414252</c:v>
                </c:pt>
                <c:pt idx="128">
                  <c:v>0.86992894476186455</c:v>
                </c:pt>
                <c:pt idx="129">
                  <c:v>0.84902391680369171</c:v>
                </c:pt>
                <c:pt idx="130">
                  <c:v>0.84885857225706629</c:v>
                </c:pt>
                <c:pt idx="131">
                  <c:v>0.83154155835067312</c:v>
                </c:pt>
                <c:pt idx="132">
                  <c:v>0.84298472710543082</c:v>
                </c:pt>
                <c:pt idx="133">
                  <c:v>0.84816776191317567</c:v>
                </c:pt>
                <c:pt idx="134">
                  <c:v>0.84778208721401438</c:v>
                </c:pt>
                <c:pt idx="135">
                  <c:v>0.86134191722482256</c:v>
                </c:pt>
                <c:pt idx="136">
                  <c:v>0.8503802861579044</c:v>
                </c:pt>
                <c:pt idx="137">
                  <c:v>0.85919702904972761</c:v>
                </c:pt>
                <c:pt idx="138">
                  <c:v>0.8504350563557157</c:v>
                </c:pt>
                <c:pt idx="139">
                  <c:v>0.84393717794065626</c:v>
                </c:pt>
                <c:pt idx="140">
                  <c:v>0.8267770504093982</c:v>
                </c:pt>
                <c:pt idx="141">
                  <c:v>0.82818000502268652</c:v>
                </c:pt>
                <c:pt idx="142">
                  <c:v>0.85952253543676338</c:v>
                </c:pt>
                <c:pt idx="143">
                  <c:v>0.85797691731116177</c:v>
                </c:pt>
                <c:pt idx="144">
                  <c:v>0.88750298599907629</c:v>
                </c:pt>
                <c:pt idx="145">
                  <c:v>0.86560035848422368</c:v>
                </c:pt>
                <c:pt idx="146">
                  <c:v>0.86416953252622708</c:v>
                </c:pt>
                <c:pt idx="147">
                  <c:v>0.85250895352490508</c:v>
                </c:pt>
                <c:pt idx="148">
                  <c:v>0.8497545347124954</c:v>
                </c:pt>
                <c:pt idx="149">
                  <c:v>0.84579362636537314</c:v>
                </c:pt>
                <c:pt idx="150">
                  <c:v>0.84159085625389218</c:v>
                </c:pt>
                <c:pt idx="151">
                  <c:v>0.83717087551409619</c:v>
                </c:pt>
                <c:pt idx="152">
                  <c:v>0.82945220164929434</c:v>
                </c:pt>
                <c:pt idx="153">
                  <c:v>0.82431048481041458</c:v>
                </c:pt>
                <c:pt idx="154">
                  <c:v>0.81858732493743991</c:v>
                </c:pt>
                <c:pt idx="155">
                  <c:v>0.82690981474773451</c:v>
                </c:pt>
                <c:pt idx="156">
                  <c:v>0.81408609768582307</c:v>
                </c:pt>
                <c:pt idx="157">
                  <c:v>0.81120809315790032</c:v>
                </c:pt>
                <c:pt idx="158">
                  <c:v>0.80734858672207488</c:v>
                </c:pt>
                <c:pt idx="159">
                  <c:v>0.79872717849604269</c:v>
                </c:pt>
                <c:pt idx="160">
                  <c:v>0.80137952137849677</c:v>
                </c:pt>
                <c:pt idx="161">
                  <c:v>0.80433473583000337</c:v>
                </c:pt>
                <c:pt idx="162">
                  <c:v>0.81405091568522892</c:v>
                </c:pt>
                <c:pt idx="163">
                  <c:v>0.81567266471803102</c:v>
                </c:pt>
                <c:pt idx="164">
                  <c:v>0.80912703280403708</c:v>
                </c:pt>
                <c:pt idx="165">
                  <c:v>0.82307740100730564</c:v>
                </c:pt>
                <c:pt idx="166">
                  <c:v>0.82449967619215658</c:v>
                </c:pt>
                <c:pt idx="167">
                  <c:v>0.81957450445727464</c:v>
                </c:pt>
                <c:pt idx="168">
                  <c:v>0.81070293295840479</c:v>
                </c:pt>
                <c:pt idx="169">
                  <c:v>0.81318469422568196</c:v>
                </c:pt>
                <c:pt idx="170">
                  <c:v>0.82781016755798786</c:v>
                </c:pt>
                <c:pt idx="171">
                  <c:v>0.8493375530996301</c:v>
                </c:pt>
                <c:pt idx="172">
                  <c:v>0.84605045076425611</c:v>
                </c:pt>
                <c:pt idx="173">
                  <c:v>0.84537562623394991</c:v>
                </c:pt>
                <c:pt idx="174">
                  <c:v>0.85025900313097436</c:v>
                </c:pt>
                <c:pt idx="175">
                  <c:v>0.84628259183390198</c:v>
                </c:pt>
                <c:pt idx="176">
                  <c:v>0.84757083022738078</c:v>
                </c:pt>
                <c:pt idx="177">
                  <c:v>0.833469016042797</c:v>
                </c:pt>
                <c:pt idx="178">
                  <c:v>0.84090631641090186</c:v>
                </c:pt>
                <c:pt idx="179">
                  <c:v>0.85065765621250244</c:v>
                </c:pt>
                <c:pt idx="180">
                  <c:v>0.8501082142202343</c:v>
                </c:pt>
                <c:pt idx="181">
                  <c:v>0.84565519665583289</c:v>
                </c:pt>
                <c:pt idx="182">
                  <c:v>0.83801804771238098</c:v>
                </c:pt>
                <c:pt idx="183">
                  <c:v>0.84842089405809673</c:v>
                </c:pt>
                <c:pt idx="184">
                  <c:v>0.84768021684378525</c:v>
                </c:pt>
                <c:pt idx="185">
                  <c:v>0.84071132462839715</c:v>
                </c:pt>
                <c:pt idx="186">
                  <c:v>0.83936975719910734</c:v>
                </c:pt>
                <c:pt idx="187">
                  <c:v>0.83835585540555824</c:v>
                </c:pt>
                <c:pt idx="188">
                  <c:v>0.8306156930618378</c:v>
                </c:pt>
                <c:pt idx="189">
                  <c:v>0.83050545026588096</c:v>
                </c:pt>
                <c:pt idx="190">
                  <c:v>0.83146610402967946</c:v>
                </c:pt>
                <c:pt idx="191">
                  <c:v>0.83204709133866517</c:v>
                </c:pt>
                <c:pt idx="192">
                  <c:v>0.82638276240806241</c:v>
                </c:pt>
                <c:pt idx="193">
                  <c:v>0.82525841903608999</c:v>
                </c:pt>
                <c:pt idx="194">
                  <c:v>0.82457422336451403</c:v>
                </c:pt>
                <c:pt idx="195">
                  <c:v>0.82839677548231994</c:v>
                </c:pt>
                <c:pt idx="196">
                  <c:v>0.82958544251946109</c:v>
                </c:pt>
                <c:pt idx="197">
                  <c:v>0.82077779457966438</c:v>
                </c:pt>
                <c:pt idx="198">
                  <c:v>0.82226271415415242</c:v>
                </c:pt>
                <c:pt idx="199">
                  <c:v>0.80779163754819638</c:v>
                </c:pt>
                <c:pt idx="200">
                  <c:v>0.79717090074933306</c:v>
                </c:pt>
                <c:pt idx="201">
                  <c:v>0.79779598840235744</c:v>
                </c:pt>
                <c:pt idx="202">
                  <c:v>0.79025734720815377</c:v>
                </c:pt>
                <c:pt idx="203">
                  <c:v>0.79451349489818446</c:v>
                </c:pt>
                <c:pt idx="204">
                  <c:v>0.79441435824304563</c:v>
                </c:pt>
                <c:pt idx="205">
                  <c:v>0.78766353986846838</c:v>
                </c:pt>
                <c:pt idx="206">
                  <c:v>0.79443101979917685</c:v>
                </c:pt>
                <c:pt idx="207">
                  <c:v>0.80142022177072458</c:v>
                </c:pt>
                <c:pt idx="208">
                  <c:v>0.8083664664818464</c:v>
                </c:pt>
                <c:pt idx="209">
                  <c:v>0.81966186241835826</c:v>
                </c:pt>
                <c:pt idx="210">
                  <c:v>0.81220008904628993</c:v>
                </c:pt>
                <c:pt idx="211">
                  <c:v>0.80720379162057865</c:v>
                </c:pt>
                <c:pt idx="212">
                  <c:v>0.81539946617458936</c:v>
                </c:pt>
                <c:pt idx="213">
                  <c:v>0.81355922597650787</c:v>
                </c:pt>
                <c:pt idx="214">
                  <c:v>0.80258183134697125</c:v>
                </c:pt>
                <c:pt idx="215">
                  <c:v>0.80049950088859378</c:v>
                </c:pt>
                <c:pt idx="216">
                  <c:v>0.80571999969353392</c:v>
                </c:pt>
                <c:pt idx="217">
                  <c:v>0.8049854812717141</c:v>
                </c:pt>
                <c:pt idx="218">
                  <c:v>0.80117290203653435</c:v>
                </c:pt>
                <c:pt idx="219">
                  <c:v>0.8005794399131767</c:v>
                </c:pt>
                <c:pt idx="220">
                  <c:v>0.8107202775931488</c:v>
                </c:pt>
                <c:pt idx="221">
                  <c:v>0.80939554210625608</c:v>
                </c:pt>
                <c:pt idx="222">
                  <c:v>0.79983671740775764</c:v>
                </c:pt>
                <c:pt idx="223">
                  <c:v>0.79684218218055225</c:v>
                </c:pt>
                <c:pt idx="224">
                  <c:v>0.79259209843702083</c:v>
                </c:pt>
                <c:pt idx="225">
                  <c:v>0.79169974173420032</c:v>
                </c:pt>
                <c:pt idx="226">
                  <c:v>0.80690703444415979</c:v>
                </c:pt>
                <c:pt idx="227">
                  <c:v>0.80931831881436345</c:v>
                </c:pt>
                <c:pt idx="228">
                  <c:v>0.82463727980425838</c:v>
                </c:pt>
                <c:pt idx="229">
                  <c:v>0.82749387869941127</c:v>
                </c:pt>
                <c:pt idx="230">
                  <c:v>0.82234659424612311</c:v>
                </c:pt>
                <c:pt idx="231">
                  <c:v>0.85449299200901985</c:v>
                </c:pt>
                <c:pt idx="232">
                  <c:v>0.88360250339979995</c:v>
                </c:pt>
                <c:pt idx="233">
                  <c:v>0.86872414579862722</c:v>
                </c:pt>
                <c:pt idx="234">
                  <c:v>0.86414685611522457</c:v>
                </c:pt>
                <c:pt idx="235">
                  <c:v>0.86702060058707808</c:v>
                </c:pt>
                <c:pt idx="236">
                  <c:v>0.87928729808693218</c:v>
                </c:pt>
                <c:pt idx="237">
                  <c:v>0.88134570827660075</c:v>
                </c:pt>
                <c:pt idx="238">
                  <c:v>0.88091721442253146</c:v>
                </c:pt>
                <c:pt idx="239">
                  <c:v>0.87312000513060795</c:v>
                </c:pt>
                <c:pt idx="240">
                  <c:v>0.86837173676542434</c:v>
                </c:pt>
                <c:pt idx="241">
                  <c:v>0.88078987802714825</c:v>
                </c:pt>
                <c:pt idx="242">
                  <c:v>0.89677528392298589</c:v>
                </c:pt>
                <c:pt idx="243">
                  <c:v>0.88943992953471573</c:v>
                </c:pt>
                <c:pt idx="244">
                  <c:v>0.89394296254492711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FC-4D32-BB92-436F5B8D4BAE}"/>
            </c:ext>
          </c:extLst>
        </c:ser>
        <c:ser>
          <c:idx val="2"/>
          <c:order val="2"/>
          <c:tx>
            <c:strRef>
              <c:f>Backtest!$AD$1</c:f>
              <c:strCache>
                <c:ptCount val="1"/>
                <c:pt idx="0">
                  <c:v>EWP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Backtest!$AA$5:$AA$249</c:f>
              <c:numCache>
                <c:formatCode>General</c:formatCode>
                <c:ptCount val="2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</c:numCache>
            </c:numRef>
          </c:xVal>
          <c:yVal>
            <c:numRef>
              <c:f>Backtest!$AD$5:$AD$249</c:f>
              <c:numCache>
                <c:formatCode>General</c:formatCode>
                <c:ptCount val="245"/>
                <c:pt idx="0">
                  <c:v>1</c:v>
                </c:pt>
                <c:pt idx="1">
                  <c:v>1.0062099127793822</c:v>
                </c:pt>
                <c:pt idx="2">
                  <c:v>0.99436097150520897</c:v>
                </c:pt>
                <c:pt idx="3">
                  <c:v>0.99896718508926785</c:v>
                </c:pt>
                <c:pt idx="4">
                  <c:v>1.0066760396052989</c:v>
                </c:pt>
                <c:pt idx="5">
                  <c:v>1.0042930262225944</c:v>
                </c:pt>
                <c:pt idx="6">
                  <c:v>0.99966476213775946</c:v>
                </c:pt>
                <c:pt idx="7">
                  <c:v>1.0041293411348544</c:v>
                </c:pt>
                <c:pt idx="8">
                  <c:v>1.0167220555781853</c:v>
                </c:pt>
                <c:pt idx="9">
                  <c:v>1.0310500403814669</c:v>
                </c:pt>
                <c:pt idx="10">
                  <c:v>1.0386839876573806</c:v>
                </c:pt>
                <c:pt idx="11">
                  <c:v>1.0355336638017627</c:v>
                </c:pt>
                <c:pt idx="12">
                  <c:v>1.0329155570630686</c:v>
                </c:pt>
                <c:pt idx="13">
                  <c:v>1.0290686698994818</c:v>
                </c:pt>
                <c:pt idx="14">
                  <c:v>1.0340578884398806</c:v>
                </c:pt>
                <c:pt idx="15">
                  <c:v>1.0363536808484157</c:v>
                </c:pt>
                <c:pt idx="16">
                  <c:v>1.034767674864324</c:v>
                </c:pt>
                <c:pt idx="17">
                  <c:v>1.0415275660712056</c:v>
                </c:pt>
                <c:pt idx="18">
                  <c:v>1.0440459967818361</c:v>
                </c:pt>
                <c:pt idx="19">
                  <c:v>1.0365981835814064</c:v>
                </c:pt>
                <c:pt idx="20">
                  <c:v>1.0399887077317649</c:v>
                </c:pt>
                <c:pt idx="21">
                  <c:v>1.039893277511224</c:v>
                </c:pt>
                <c:pt idx="22">
                  <c:v>1.0361173999922675</c:v>
                </c:pt>
                <c:pt idx="23">
                  <c:v>1.0405348391705229</c:v>
                </c:pt>
                <c:pt idx="24">
                  <c:v>1.0380822119464368</c:v>
                </c:pt>
                <c:pt idx="25">
                  <c:v>1.0454126149668039</c:v>
                </c:pt>
                <c:pt idx="26">
                  <c:v>1.0450837576566163</c:v>
                </c:pt>
                <c:pt idx="27">
                  <c:v>1.0573441894341229</c:v>
                </c:pt>
                <c:pt idx="28">
                  <c:v>1.0602232620171443</c:v>
                </c:pt>
                <c:pt idx="29">
                  <c:v>1.0566489506499048</c:v>
                </c:pt>
                <c:pt idx="30">
                  <c:v>1.0596252513907476</c:v>
                </c:pt>
                <c:pt idx="31">
                  <c:v>1.0671987378882946</c:v>
                </c:pt>
                <c:pt idx="32">
                  <c:v>1.0635146253581074</c:v>
                </c:pt>
                <c:pt idx="33">
                  <c:v>1.0464427279916906</c:v>
                </c:pt>
                <c:pt idx="34">
                  <c:v>1.0539358309768432</c:v>
                </c:pt>
                <c:pt idx="35">
                  <c:v>1.0455948739363765</c:v>
                </c:pt>
                <c:pt idx="36">
                  <c:v>1.0465069726202021</c:v>
                </c:pt>
                <c:pt idx="37">
                  <c:v>1.027897075846502</c:v>
                </c:pt>
                <c:pt idx="38">
                  <c:v>1.0122355570356298</c:v>
                </c:pt>
                <c:pt idx="39">
                  <c:v>1.0122441548042458</c:v>
                </c:pt>
                <c:pt idx="40">
                  <c:v>1.003953528146831</c:v>
                </c:pt>
                <c:pt idx="41">
                  <c:v>1.0017095235480762</c:v>
                </c:pt>
                <c:pt idx="42">
                  <c:v>1.0028309153879786</c:v>
                </c:pt>
                <c:pt idx="43">
                  <c:v>1.0282043137271881</c:v>
                </c:pt>
                <c:pt idx="44">
                  <c:v>1.0244129583263799</c:v>
                </c:pt>
                <c:pt idx="45">
                  <c:v>1.0179041017192865</c:v>
                </c:pt>
                <c:pt idx="46">
                  <c:v>1.0227878902955394</c:v>
                </c:pt>
                <c:pt idx="47">
                  <c:v>1.0268964944473653</c:v>
                </c:pt>
                <c:pt idx="48">
                  <c:v>1.0270343961420074</c:v>
                </c:pt>
                <c:pt idx="49">
                  <c:v>1.0317412517369251</c:v>
                </c:pt>
                <c:pt idx="50">
                  <c:v>1.0349061134776694</c:v>
                </c:pt>
                <c:pt idx="51">
                  <c:v>1.0226952194763026</c:v>
                </c:pt>
                <c:pt idx="52">
                  <c:v>1.0257060218785028</c:v>
                </c:pt>
                <c:pt idx="53">
                  <c:v>1.0258979217152828</c:v>
                </c:pt>
                <c:pt idx="54">
                  <c:v>1.0207502042472718</c:v>
                </c:pt>
                <c:pt idx="55">
                  <c:v>1.0234230712270322</c:v>
                </c:pt>
                <c:pt idx="56">
                  <c:v>1.0177675246504245</c:v>
                </c:pt>
                <c:pt idx="57">
                  <c:v>1.0150828715702822</c:v>
                </c:pt>
                <c:pt idx="58">
                  <c:v>1.0218538598086704</c:v>
                </c:pt>
                <c:pt idx="59">
                  <c:v>1.014829333096418</c:v>
                </c:pt>
                <c:pt idx="60">
                  <c:v>1.0025708679048602</c:v>
                </c:pt>
                <c:pt idx="61">
                  <c:v>1.0092573629513635</c:v>
                </c:pt>
                <c:pt idx="62">
                  <c:v>1.0150694654833792</c:v>
                </c:pt>
                <c:pt idx="63">
                  <c:v>1.041218376344426</c:v>
                </c:pt>
                <c:pt idx="64">
                  <c:v>1.0315642203297977</c:v>
                </c:pt>
                <c:pt idx="65">
                  <c:v>1.0109659955113499</c:v>
                </c:pt>
                <c:pt idx="66">
                  <c:v>1.0256428609155646</c:v>
                </c:pt>
                <c:pt idx="67">
                  <c:v>1.0325192959262832</c:v>
                </c:pt>
                <c:pt idx="68">
                  <c:v>1.0043601571719598</c:v>
                </c:pt>
                <c:pt idx="69">
                  <c:v>0.9632642598323814</c:v>
                </c:pt>
                <c:pt idx="70">
                  <c:v>0.9487321892866033</c:v>
                </c:pt>
                <c:pt idx="71">
                  <c:v>0.94859402593010922</c:v>
                </c:pt>
                <c:pt idx="72">
                  <c:v>0.92933736585370108</c:v>
                </c:pt>
                <c:pt idx="73">
                  <c:v>0.87245805079345995</c:v>
                </c:pt>
                <c:pt idx="74">
                  <c:v>0.85020928479838287</c:v>
                </c:pt>
                <c:pt idx="75">
                  <c:v>0.78782180901046994</c:v>
                </c:pt>
                <c:pt idx="76">
                  <c:v>0.82325966282157326</c:v>
                </c:pt>
                <c:pt idx="77">
                  <c:v>0.85099646320450717</c:v>
                </c:pt>
                <c:pt idx="78">
                  <c:v>0.84598890946544758</c:v>
                </c:pt>
                <c:pt idx="79">
                  <c:v>0.86109986209299405</c:v>
                </c:pt>
                <c:pt idx="80">
                  <c:v>0.8452947497478851</c:v>
                </c:pt>
                <c:pt idx="81">
                  <c:v>0.86890371381941722</c:v>
                </c:pt>
                <c:pt idx="82">
                  <c:v>0.86913825686811641</c:v>
                </c:pt>
                <c:pt idx="83">
                  <c:v>0.8785625210793605</c:v>
                </c:pt>
                <c:pt idx="84">
                  <c:v>0.90056776677821615</c:v>
                </c:pt>
                <c:pt idx="85">
                  <c:v>0.9395427069554132</c:v>
                </c:pt>
                <c:pt idx="86">
                  <c:v>0.95830404370478373</c:v>
                </c:pt>
                <c:pt idx="87">
                  <c:v>0.9469550768112186</c:v>
                </c:pt>
                <c:pt idx="88">
                  <c:v>0.96176860927617924</c:v>
                </c:pt>
                <c:pt idx="89">
                  <c:v>0.98302258663779518</c:v>
                </c:pt>
                <c:pt idx="90">
                  <c:v>0.98370488806486556</c:v>
                </c:pt>
                <c:pt idx="91">
                  <c:v>0.9753554205599928</c:v>
                </c:pt>
                <c:pt idx="92">
                  <c:v>0.98028246703180744</c:v>
                </c:pt>
                <c:pt idx="93">
                  <c:v>0.97244832996655228</c:v>
                </c:pt>
                <c:pt idx="94">
                  <c:v>0.95859603564921492</c:v>
                </c:pt>
                <c:pt idx="95">
                  <c:v>0.9648439516282652</c:v>
                </c:pt>
                <c:pt idx="96">
                  <c:v>0.97266677174275673</c:v>
                </c:pt>
                <c:pt idx="97">
                  <c:v>0.96326281505560252</c:v>
                </c:pt>
                <c:pt idx="98">
                  <c:v>0.97593679187717808</c:v>
                </c:pt>
                <c:pt idx="99">
                  <c:v>0.98276652628592753</c:v>
                </c:pt>
                <c:pt idx="100">
                  <c:v>0.97969167560188675</c:v>
                </c:pt>
                <c:pt idx="101">
                  <c:v>0.95185048414759443</c:v>
                </c:pt>
                <c:pt idx="102">
                  <c:v>0.95680982547128879</c:v>
                </c:pt>
                <c:pt idx="103">
                  <c:v>0.9674362313736482</c:v>
                </c:pt>
                <c:pt idx="104">
                  <c:v>0.95411177885827514</c:v>
                </c:pt>
                <c:pt idx="105">
                  <c:v>0.95793075250548043</c:v>
                </c:pt>
                <c:pt idx="106">
                  <c:v>0.96061419392466485</c:v>
                </c:pt>
                <c:pt idx="107">
                  <c:v>0.95478775873406507</c:v>
                </c:pt>
                <c:pt idx="108">
                  <c:v>0.95730599907284075</c:v>
                </c:pt>
                <c:pt idx="109">
                  <c:v>0.94883510281291961</c:v>
                </c:pt>
                <c:pt idx="110">
                  <c:v>0.9487451978295296</c:v>
                </c:pt>
                <c:pt idx="111">
                  <c:v>0.94598334382490568</c:v>
                </c:pt>
                <c:pt idx="112">
                  <c:v>0.95699521881891447</c:v>
                </c:pt>
                <c:pt idx="113">
                  <c:v>0.96001190928346336</c:v>
                </c:pt>
                <c:pt idx="114">
                  <c:v>0.94392951736082831</c:v>
                </c:pt>
                <c:pt idx="115">
                  <c:v>0.88855892266669456</c:v>
                </c:pt>
                <c:pt idx="116">
                  <c:v>0.87832980898954482</c:v>
                </c:pt>
                <c:pt idx="117">
                  <c:v>0.89880749469074406</c:v>
                </c:pt>
                <c:pt idx="118">
                  <c:v>0.87957960441311178</c:v>
                </c:pt>
                <c:pt idx="119">
                  <c:v>0.8739848326793993</c:v>
                </c:pt>
                <c:pt idx="120">
                  <c:v>0.87511421236536968</c:v>
                </c:pt>
                <c:pt idx="121">
                  <c:v>0.90432689546360479</c:v>
                </c:pt>
                <c:pt idx="122">
                  <c:v>0.90934970401272353</c:v>
                </c:pt>
                <c:pt idx="123">
                  <c:v>0.90766369364773458</c:v>
                </c:pt>
                <c:pt idx="124">
                  <c:v>0.90260200285816905</c:v>
                </c:pt>
                <c:pt idx="125">
                  <c:v>0.9213186022872274</c:v>
                </c:pt>
                <c:pt idx="126">
                  <c:v>0.92383678919697843</c:v>
                </c:pt>
                <c:pt idx="127">
                  <c:v>0.93664210218225108</c:v>
                </c:pt>
                <c:pt idx="128">
                  <c:v>0.92885987570679351</c:v>
                </c:pt>
                <c:pt idx="129">
                  <c:v>0.91949804169400107</c:v>
                </c:pt>
                <c:pt idx="130">
                  <c:v>0.92058654361655468</c:v>
                </c:pt>
                <c:pt idx="131">
                  <c:v>0.8993592235973743</c:v>
                </c:pt>
                <c:pt idx="132">
                  <c:v>0.90880855353204681</c:v>
                </c:pt>
                <c:pt idx="133">
                  <c:v>0.90966463804162445</c:v>
                </c:pt>
                <c:pt idx="134">
                  <c:v>0.91319899929440052</c:v>
                </c:pt>
                <c:pt idx="135">
                  <c:v>0.91744834365498984</c:v>
                </c:pt>
                <c:pt idx="136">
                  <c:v>0.90471835434785675</c:v>
                </c:pt>
                <c:pt idx="137">
                  <c:v>0.91529382116346314</c:v>
                </c:pt>
                <c:pt idx="138">
                  <c:v>0.90712155165368558</c:v>
                </c:pt>
                <c:pt idx="139">
                  <c:v>0.90191869764694321</c:v>
                </c:pt>
                <c:pt idx="140">
                  <c:v>0.89085362760436382</c:v>
                </c:pt>
                <c:pt idx="141">
                  <c:v>0.88890762983997573</c:v>
                </c:pt>
                <c:pt idx="142">
                  <c:v>0.91639322199642537</c:v>
                </c:pt>
                <c:pt idx="143">
                  <c:v>0.9157318725560244</c:v>
                </c:pt>
                <c:pt idx="144">
                  <c:v>0.93148277081283104</c:v>
                </c:pt>
                <c:pt idx="145">
                  <c:v>0.91307341726147306</c:v>
                </c:pt>
                <c:pt idx="146">
                  <c:v>0.9141707992715743</c:v>
                </c:pt>
                <c:pt idx="147">
                  <c:v>0.90244593757588953</c:v>
                </c:pt>
                <c:pt idx="148">
                  <c:v>0.89778404813897827</c:v>
                </c:pt>
                <c:pt idx="149">
                  <c:v>0.89064695299654761</c:v>
                </c:pt>
                <c:pt idx="150">
                  <c:v>0.88606470266920645</c:v>
                </c:pt>
                <c:pt idx="151">
                  <c:v>0.88068511381240333</c:v>
                </c:pt>
                <c:pt idx="152">
                  <c:v>0.87582952384053081</c:v>
                </c:pt>
                <c:pt idx="153">
                  <c:v>0.87311914878245078</c:v>
                </c:pt>
                <c:pt idx="154">
                  <c:v>0.86709702209988637</c:v>
                </c:pt>
                <c:pt idx="155">
                  <c:v>0.87347078931825251</c:v>
                </c:pt>
                <c:pt idx="156">
                  <c:v>0.86448717364081018</c:v>
                </c:pt>
                <c:pt idx="157">
                  <c:v>0.86239268030843819</c:v>
                </c:pt>
                <c:pt idx="158">
                  <c:v>0.86125062770150362</c:v>
                </c:pt>
                <c:pt idx="159">
                  <c:v>0.86110134275827133</c:v>
                </c:pt>
                <c:pt idx="160">
                  <c:v>0.86382216979086335</c:v>
                </c:pt>
                <c:pt idx="161">
                  <c:v>0.8607254053253931</c:v>
                </c:pt>
                <c:pt idx="162">
                  <c:v>0.8705448033381582</c:v>
                </c:pt>
                <c:pt idx="163">
                  <c:v>0.87861318007603384</c:v>
                </c:pt>
                <c:pt idx="164">
                  <c:v>0.88093782426603329</c:v>
                </c:pt>
                <c:pt idx="165">
                  <c:v>0.89054366529758289</c:v>
                </c:pt>
                <c:pt idx="166">
                  <c:v>0.88857817944523965</c:v>
                </c:pt>
                <c:pt idx="167">
                  <c:v>0.88160455888673039</c:v>
                </c:pt>
                <c:pt idx="168">
                  <c:v>0.87829187790297858</c:v>
                </c:pt>
                <c:pt idx="169">
                  <c:v>0.87955572261731441</c:v>
                </c:pt>
                <c:pt idx="170">
                  <c:v>0.88996470093608027</c:v>
                </c:pt>
                <c:pt idx="171">
                  <c:v>0.90566192261937439</c:v>
                </c:pt>
                <c:pt idx="172">
                  <c:v>0.9009605712414861</c:v>
                </c:pt>
                <c:pt idx="173">
                  <c:v>0.90660459476540955</c:v>
                </c:pt>
                <c:pt idx="174">
                  <c:v>0.91415215416230255</c:v>
                </c:pt>
                <c:pt idx="175">
                  <c:v>0.9067446988541813</c:v>
                </c:pt>
                <c:pt idx="176">
                  <c:v>0.90856654620143451</c:v>
                </c:pt>
                <c:pt idx="177">
                  <c:v>0.89335444919245122</c:v>
                </c:pt>
                <c:pt idx="178">
                  <c:v>0.90082329340560741</c:v>
                </c:pt>
                <c:pt idx="179">
                  <c:v>0.90853185440707429</c:v>
                </c:pt>
                <c:pt idx="180">
                  <c:v>0.91134525149769341</c:v>
                </c:pt>
                <c:pt idx="181">
                  <c:v>0.90348542527552289</c:v>
                </c:pt>
                <c:pt idx="182">
                  <c:v>0.90039064327896035</c:v>
                </c:pt>
                <c:pt idx="183">
                  <c:v>0.90713357628733449</c:v>
                </c:pt>
                <c:pt idx="184">
                  <c:v>0.91155844287374888</c:v>
                </c:pt>
                <c:pt idx="185">
                  <c:v>0.90578791029315686</c:v>
                </c:pt>
                <c:pt idx="186">
                  <c:v>0.9053446285791803</c:v>
                </c:pt>
                <c:pt idx="187">
                  <c:v>0.89926941344096312</c:v>
                </c:pt>
                <c:pt idx="188">
                  <c:v>0.8966490383211404</c:v>
                </c:pt>
                <c:pt idx="189">
                  <c:v>0.89330313433892317</c:v>
                </c:pt>
                <c:pt idx="190">
                  <c:v>0.89419871178879273</c:v>
                </c:pt>
                <c:pt idx="191">
                  <c:v>0.90022546557597438</c:v>
                </c:pt>
                <c:pt idx="192">
                  <c:v>0.89317161820359536</c:v>
                </c:pt>
                <c:pt idx="193">
                  <c:v>0.89188734923895019</c:v>
                </c:pt>
                <c:pt idx="194">
                  <c:v>0.89112696250489043</c:v>
                </c:pt>
                <c:pt idx="195">
                  <c:v>0.89408347193567872</c:v>
                </c:pt>
                <c:pt idx="196">
                  <c:v>0.89652270588656413</c:v>
                </c:pt>
                <c:pt idx="197">
                  <c:v>0.89399114035402072</c:v>
                </c:pt>
                <c:pt idx="198">
                  <c:v>0.89227998847249312</c:v>
                </c:pt>
                <c:pt idx="199">
                  <c:v>0.88727657461371789</c:v>
                </c:pt>
                <c:pt idx="200">
                  <c:v>0.87927218875695734</c:v>
                </c:pt>
                <c:pt idx="201">
                  <c:v>0.88341472889118111</c:v>
                </c:pt>
                <c:pt idx="202">
                  <c:v>0.87568393988105819</c:v>
                </c:pt>
                <c:pt idx="203">
                  <c:v>0.88439540415713869</c:v>
                </c:pt>
                <c:pt idx="204">
                  <c:v>0.87064770837141925</c:v>
                </c:pt>
                <c:pt idx="205">
                  <c:v>0.86276868302822218</c:v>
                </c:pt>
                <c:pt idx="206">
                  <c:v>0.86685604419600581</c:v>
                </c:pt>
                <c:pt idx="207">
                  <c:v>0.87306493993125556</c:v>
                </c:pt>
                <c:pt idx="208">
                  <c:v>0.87985121536288979</c:v>
                </c:pt>
                <c:pt idx="209">
                  <c:v>0.88970105242554354</c:v>
                </c:pt>
                <c:pt idx="210">
                  <c:v>0.88085111894204171</c:v>
                </c:pt>
                <c:pt idx="211">
                  <c:v>0.87515948577709046</c:v>
                </c:pt>
                <c:pt idx="212">
                  <c:v>0.88682038875689095</c:v>
                </c:pt>
                <c:pt idx="213">
                  <c:v>0.89020048721064482</c:v>
                </c:pt>
                <c:pt idx="214">
                  <c:v>0.87787432663939369</c:v>
                </c:pt>
                <c:pt idx="215">
                  <c:v>0.87432899102119166</c:v>
                </c:pt>
                <c:pt idx="216">
                  <c:v>0.87829474137752817</c:v>
                </c:pt>
                <c:pt idx="217">
                  <c:v>0.87806873282615117</c:v>
                </c:pt>
                <c:pt idx="218">
                  <c:v>0.87044275460412435</c:v>
                </c:pt>
                <c:pt idx="219">
                  <c:v>0.86730071323524682</c:v>
                </c:pt>
                <c:pt idx="220">
                  <c:v>0.87353921233009513</c:v>
                </c:pt>
                <c:pt idx="221">
                  <c:v>0.86660886446973884</c:v>
                </c:pt>
                <c:pt idx="222">
                  <c:v>0.86016955920402904</c:v>
                </c:pt>
                <c:pt idx="223">
                  <c:v>0.85769398869602353</c:v>
                </c:pt>
                <c:pt idx="224">
                  <c:v>0.85541565577916223</c:v>
                </c:pt>
                <c:pt idx="225">
                  <c:v>0.85065517965630477</c:v>
                </c:pt>
                <c:pt idx="226">
                  <c:v>0.86196759953871027</c:v>
                </c:pt>
                <c:pt idx="227">
                  <c:v>0.86483440473332374</c:v>
                </c:pt>
                <c:pt idx="228">
                  <c:v>0.87866756395091394</c:v>
                </c:pt>
                <c:pt idx="229">
                  <c:v>0.87837934905363102</c:v>
                </c:pt>
                <c:pt idx="230">
                  <c:v>0.87423328576280201</c:v>
                </c:pt>
                <c:pt idx="231">
                  <c:v>0.88525848344051461</c:v>
                </c:pt>
                <c:pt idx="232">
                  <c:v>0.91184255484805476</c:v>
                </c:pt>
                <c:pt idx="233">
                  <c:v>0.90083661241653357</c:v>
                </c:pt>
                <c:pt idx="234">
                  <c:v>0.90113660866167866</c:v>
                </c:pt>
                <c:pt idx="235">
                  <c:v>0.90102310457868862</c:v>
                </c:pt>
                <c:pt idx="236">
                  <c:v>0.90651772816372012</c:v>
                </c:pt>
                <c:pt idx="237">
                  <c:v>0.9074943539370024</c:v>
                </c:pt>
                <c:pt idx="238">
                  <c:v>0.90438493372045448</c:v>
                </c:pt>
                <c:pt idx="239">
                  <c:v>0.89816355598535369</c:v>
                </c:pt>
                <c:pt idx="240">
                  <c:v>0.89141038981386933</c:v>
                </c:pt>
                <c:pt idx="241">
                  <c:v>0.90309709987743336</c:v>
                </c:pt>
                <c:pt idx="242">
                  <c:v>0.90369392692805084</c:v>
                </c:pt>
                <c:pt idx="243">
                  <c:v>0.89895994625815823</c:v>
                </c:pt>
                <c:pt idx="244">
                  <c:v>0.90172738064188962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FC-4D32-BB92-436F5B8D4BAE}"/>
            </c:ext>
          </c:extLst>
        </c:ser>
        <c:ser>
          <c:idx val="3"/>
          <c:order val="3"/>
          <c:tx>
            <c:strRef>
              <c:f>Backtest!$AE$1</c:f>
              <c:strCache>
                <c:ptCount val="1"/>
                <c:pt idx="0">
                  <c:v>DRP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Backtest!$AA$5:$AA$249</c:f>
              <c:numCache>
                <c:formatCode>General</c:formatCode>
                <c:ptCount val="2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</c:numCache>
            </c:numRef>
          </c:xVal>
          <c:yVal>
            <c:numRef>
              <c:f>Backtest!$AE$5:$AE$249</c:f>
              <c:numCache>
                <c:formatCode>General</c:formatCode>
                <c:ptCount val="245"/>
                <c:pt idx="0">
                  <c:v>1</c:v>
                </c:pt>
                <c:pt idx="1">
                  <c:v>1.0186018629062625</c:v>
                </c:pt>
                <c:pt idx="2">
                  <c:v>1.0153662836859494</c:v>
                </c:pt>
                <c:pt idx="3">
                  <c:v>1.0153337543403991</c:v>
                </c:pt>
                <c:pt idx="4">
                  <c:v>1.0186620949329352</c:v>
                </c:pt>
                <c:pt idx="5">
                  <c:v>1.0115757902822062</c:v>
                </c:pt>
                <c:pt idx="6">
                  <c:v>1.0043731065689452</c:v>
                </c:pt>
                <c:pt idx="7">
                  <c:v>1.0149940554267565</c:v>
                </c:pt>
                <c:pt idx="8">
                  <c:v>1.0238185898797529</c:v>
                </c:pt>
                <c:pt idx="9">
                  <c:v>1.0215639295311112</c:v>
                </c:pt>
                <c:pt idx="10">
                  <c:v>1.0548159579166267</c:v>
                </c:pt>
                <c:pt idx="11">
                  <c:v>1.0490534823975108</c:v>
                </c:pt>
                <c:pt idx="12">
                  <c:v>1.0511090579378088</c:v>
                </c:pt>
                <c:pt idx="13">
                  <c:v>1.0410804166514969</c:v>
                </c:pt>
                <c:pt idx="14">
                  <c:v>1.0439602195484472</c:v>
                </c:pt>
                <c:pt idx="15">
                  <c:v>1.0528043424683859</c:v>
                </c:pt>
                <c:pt idx="16">
                  <c:v>1.0495741877917057</c:v>
                </c:pt>
                <c:pt idx="17">
                  <c:v>1.0600176001398727</c:v>
                </c:pt>
                <c:pt idx="18">
                  <c:v>1.0524611398238926</c:v>
                </c:pt>
                <c:pt idx="19">
                  <c:v>1.0361147631080763</c:v>
                </c:pt>
                <c:pt idx="20">
                  <c:v>1.0420102976344132</c:v>
                </c:pt>
                <c:pt idx="21">
                  <c:v>1.0450538885253182</c:v>
                </c:pt>
                <c:pt idx="22">
                  <c:v>1.0505774089252069</c:v>
                </c:pt>
                <c:pt idx="23">
                  <c:v>1.0647429589512685</c:v>
                </c:pt>
                <c:pt idx="24">
                  <c:v>1.0691591378764995</c:v>
                </c:pt>
                <c:pt idx="25">
                  <c:v>1.0600425815087509</c:v>
                </c:pt>
                <c:pt idx="26">
                  <c:v>1.0536258367154072</c:v>
                </c:pt>
                <c:pt idx="27">
                  <c:v>1.0625296728203997</c:v>
                </c:pt>
                <c:pt idx="28">
                  <c:v>1.0648300111918054</c:v>
                </c:pt>
                <c:pt idx="29">
                  <c:v>1.0576632831778381</c:v>
                </c:pt>
                <c:pt idx="30">
                  <c:v>1.0554189172200461</c:v>
                </c:pt>
                <c:pt idx="31">
                  <c:v>1.0580318836964371</c:v>
                </c:pt>
                <c:pt idx="32">
                  <c:v>1.057647499750427</c:v>
                </c:pt>
                <c:pt idx="33">
                  <c:v>1.0599078239104518</c:v>
                </c:pt>
                <c:pt idx="34">
                  <c:v>1.0746085525158122</c:v>
                </c:pt>
                <c:pt idx="35">
                  <c:v>1.0739857304755469</c:v>
                </c:pt>
                <c:pt idx="36">
                  <c:v>1.0788461625399988</c:v>
                </c:pt>
                <c:pt idx="37">
                  <c:v>1.0797441109119741</c:v>
                </c:pt>
                <c:pt idx="38">
                  <c:v>1.0728688752827276</c:v>
                </c:pt>
                <c:pt idx="39">
                  <c:v>1.081843746120823</c:v>
                </c:pt>
                <c:pt idx="40">
                  <c:v>1.0710052499721783</c:v>
                </c:pt>
                <c:pt idx="41">
                  <c:v>1.0474879205691932</c:v>
                </c:pt>
                <c:pt idx="42">
                  <c:v>1.0507545028495731</c:v>
                </c:pt>
                <c:pt idx="43">
                  <c:v>1.077583865336784</c:v>
                </c:pt>
                <c:pt idx="44">
                  <c:v>1.0635954737673776</c:v>
                </c:pt>
                <c:pt idx="45">
                  <c:v>1.0527730769620693</c:v>
                </c:pt>
                <c:pt idx="46">
                  <c:v>1.0593058995292173</c:v>
                </c:pt>
                <c:pt idx="47">
                  <c:v>1.0566186283796408</c:v>
                </c:pt>
                <c:pt idx="48">
                  <c:v>1.0545821334707988</c:v>
                </c:pt>
                <c:pt idx="49">
                  <c:v>1.0495948147209473</c:v>
                </c:pt>
                <c:pt idx="50">
                  <c:v>1.0536668908374394</c:v>
                </c:pt>
                <c:pt idx="51">
                  <c:v>1.0449646247721269</c:v>
                </c:pt>
                <c:pt idx="52">
                  <c:v>1.0514826470689917</c:v>
                </c:pt>
                <c:pt idx="53">
                  <c:v>1.0660749932378992</c:v>
                </c:pt>
                <c:pt idx="54">
                  <c:v>1.0696673729434778</c:v>
                </c:pt>
                <c:pt idx="55">
                  <c:v>1.0946136951047345</c:v>
                </c:pt>
                <c:pt idx="56">
                  <c:v>1.0799446220480244</c:v>
                </c:pt>
                <c:pt idx="57">
                  <c:v>1.0725601781202141</c:v>
                </c:pt>
                <c:pt idx="58">
                  <c:v>1.0751647557645576</c:v>
                </c:pt>
                <c:pt idx="59">
                  <c:v>1.0739043941791047</c:v>
                </c:pt>
                <c:pt idx="60">
                  <c:v>1.0583249487854767</c:v>
                </c:pt>
                <c:pt idx="61">
                  <c:v>1.0732213349986979</c:v>
                </c:pt>
                <c:pt idx="62">
                  <c:v>1.0891941486961556</c:v>
                </c:pt>
                <c:pt idx="63">
                  <c:v>1.130977613878918</c:v>
                </c:pt>
                <c:pt idx="64">
                  <c:v>1.1389569253884149</c:v>
                </c:pt>
                <c:pt idx="65">
                  <c:v>1.1511296705923675</c:v>
                </c:pt>
                <c:pt idx="66">
                  <c:v>1.1778057977467173</c:v>
                </c:pt>
                <c:pt idx="67">
                  <c:v>1.1973231823071184</c:v>
                </c:pt>
                <c:pt idx="68">
                  <c:v>1.1758387942089006</c:v>
                </c:pt>
                <c:pt idx="69">
                  <c:v>1.1038810601110736</c:v>
                </c:pt>
                <c:pt idx="70">
                  <c:v>1.1020638749245684</c:v>
                </c:pt>
                <c:pt idx="71">
                  <c:v>1.0867600730192617</c:v>
                </c:pt>
                <c:pt idx="72">
                  <c:v>1.0925439343203538</c:v>
                </c:pt>
                <c:pt idx="73">
                  <c:v>0.99097695249448026</c:v>
                </c:pt>
                <c:pt idx="74">
                  <c:v>0.91402630385762185</c:v>
                </c:pt>
                <c:pt idx="75">
                  <c:v>0.8251473129207465</c:v>
                </c:pt>
                <c:pt idx="76">
                  <c:v>0.86603258546413786</c:v>
                </c:pt>
                <c:pt idx="77">
                  <c:v>0.89297571411280285</c:v>
                </c:pt>
                <c:pt idx="78">
                  <c:v>0.89374684837455964</c:v>
                </c:pt>
                <c:pt idx="79">
                  <c:v>0.92201192337855298</c:v>
                </c:pt>
                <c:pt idx="80">
                  <c:v>0.90705334342049915</c:v>
                </c:pt>
                <c:pt idx="81">
                  <c:v>0.93974635653054739</c:v>
                </c:pt>
                <c:pt idx="82">
                  <c:v>0.95689857098322972</c:v>
                </c:pt>
                <c:pt idx="83">
                  <c:v>0.9724367181649215</c:v>
                </c:pt>
                <c:pt idx="84">
                  <c:v>1.0250907138006715</c:v>
                </c:pt>
                <c:pt idx="85">
                  <c:v>1.0766409424740553</c:v>
                </c:pt>
                <c:pt idx="86">
                  <c:v>1.1038088210724393</c:v>
                </c:pt>
                <c:pt idx="87">
                  <c:v>1.085781021552175</c:v>
                </c:pt>
                <c:pt idx="88">
                  <c:v>1.1010532518080829</c:v>
                </c:pt>
                <c:pt idx="89">
                  <c:v>1.1514904828258177</c:v>
                </c:pt>
                <c:pt idx="90">
                  <c:v>1.1638232504851609</c:v>
                </c:pt>
                <c:pt idx="91">
                  <c:v>1.1521430825457397</c:v>
                </c:pt>
                <c:pt idx="92">
                  <c:v>1.1446614935634114</c:v>
                </c:pt>
                <c:pt idx="93">
                  <c:v>1.1338027992393926</c:v>
                </c:pt>
                <c:pt idx="94">
                  <c:v>1.1286765193490462</c:v>
                </c:pt>
                <c:pt idx="95">
                  <c:v>1.1527806115131276</c:v>
                </c:pt>
                <c:pt idx="96">
                  <c:v>1.1653874116879426</c:v>
                </c:pt>
                <c:pt idx="97">
                  <c:v>1.1534446353634507</c:v>
                </c:pt>
                <c:pt idx="98">
                  <c:v>1.1541435426154936</c:v>
                </c:pt>
                <c:pt idx="99">
                  <c:v>1.1551168082244254</c:v>
                </c:pt>
                <c:pt idx="100">
                  <c:v>1.1460010728651551</c:v>
                </c:pt>
                <c:pt idx="101">
                  <c:v>1.1279462210011832</c:v>
                </c:pt>
                <c:pt idx="102">
                  <c:v>1.1231256406758925</c:v>
                </c:pt>
                <c:pt idx="103">
                  <c:v>1.1385206590613228</c:v>
                </c:pt>
                <c:pt idx="104">
                  <c:v>1.1128098761535816</c:v>
                </c:pt>
                <c:pt idx="105">
                  <c:v>1.1114349575170643</c:v>
                </c:pt>
                <c:pt idx="106">
                  <c:v>1.1055879470277581</c:v>
                </c:pt>
                <c:pt idx="107">
                  <c:v>1.1132154435345063</c:v>
                </c:pt>
                <c:pt idx="108">
                  <c:v>1.1251135962202512</c:v>
                </c:pt>
                <c:pt idx="109">
                  <c:v>1.1247348646188695</c:v>
                </c:pt>
                <c:pt idx="110">
                  <c:v>1.1313427218539598</c:v>
                </c:pt>
                <c:pt idx="111">
                  <c:v>1.1213685344779072</c:v>
                </c:pt>
                <c:pt idx="112">
                  <c:v>1.1167413779033619</c:v>
                </c:pt>
                <c:pt idx="113">
                  <c:v>1.1334421663366741</c:v>
                </c:pt>
                <c:pt idx="114">
                  <c:v>1.1059439874677945</c:v>
                </c:pt>
                <c:pt idx="115">
                  <c:v>1.0697844949245128</c:v>
                </c:pt>
                <c:pt idx="116">
                  <c:v>1.0629874948888092</c:v>
                </c:pt>
                <c:pt idx="117">
                  <c:v>1.0761597693389078</c:v>
                </c:pt>
                <c:pt idx="118">
                  <c:v>1.0341941352173045</c:v>
                </c:pt>
                <c:pt idx="119">
                  <c:v>1.0372647450225372</c:v>
                </c:pt>
                <c:pt idx="120">
                  <c:v>1.0635243312834604</c:v>
                </c:pt>
                <c:pt idx="121">
                  <c:v>1.0829633113242112</c:v>
                </c:pt>
                <c:pt idx="122">
                  <c:v>1.0765107299413128</c:v>
                </c:pt>
                <c:pt idx="123">
                  <c:v>1.0593605109691109</c:v>
                </c:pt>
                <c:pt idx="124">
                  <c:v>1.0453706014428592</c:v>
                </c:pt>
                <c:pt idx="125">
                  <c:v>1.0299424858255555</c:v>
                </c:pt>
                <c:pt idx="126">
                  <c:v>1.0170079150381186</c:v>
                </c:pt>
                <c:pt idx="127">
                  <c:v>1.0294562552107591</c:v>
                </c:pt>
                <c:pt idx="128">
                  <c:v>1.013359132821678</c:v>
                </c:pt>
                <c:pt idx="129">
                  <c:v>1.030264342533872</c:v>
                </c:pt>
                <c:pt idx="130">
                  <c:v>1.0288264194851073</c:v>
                </c:pt>
                <c:pt idx="131">
                  <c:v>0.99896797074441146</c:v>
                </c:pt>
                <c:pt idx="132">
                  <c:v>1.0044522706616457</c:v>
                </c:pt>
                <c:pt idx="133">
                  <c:v>0.994006829387591</c:v>
                </c:pt>
                <c:pt idx="134">
                  <c:v>1.0054152543890142</c:v>
                </c:pt>
                <c:pt idx="135">
                  <c:v>0.98158952679032907</c:v>
                </c:pt>
                <c:pt idx="136">
                  <c:v>0.96394919198189377</c:v>
                </c:pt>
                <c:pt idx="137">
                  <c:v>0.97654203412006302</c:v>
                </c:pt>
                <c:pt idx="138">
                  <c:v>0.9705022017108399</c:v>
                </c:pt>
                <c:pt idx="139">
                  <c:v>0.96827633439821181</c:v>
                </c:pt>
                <c:pt idx="140">
                  <c:v>0.97576748306339078</c:v>
                </c:pt>
                <c:pt idx="141">
                  <c:v>0.96506985332508277</c:v>
                </c:pt>
                <c:pt idx="142">
                  <c:v>0.97475023580111941</c:v>
                </c:pt>
                <c:pt idx="143">
                  <c:v>0.97830372942202348</c:v>
                </c:pt>
                <c:pt idx="144">
                  <c:v>0.95712328075179665</c:v>
                </c:pt>
                <c:pt idx="145">
                  <c:v>0.95317799680749205</c:v>
                </c:pt>
                <c:pt idx="146">
                  <c:v>0.95274977424096507</c:v>
                </c:pt>
                <c:pt idx="147">
                  <c:v>0.94540484715715412</c:v>
                </c:pt>
                <c:pt idx="148">
                  <c:v>0.93041183307599673</c:v>
                </c:pt>
                <c:pt idx="149">
                  <c:v>0.92229869633196737</c:v>
                </c:pt>
                <c:pt idx="150">
                  <c:v>0.91895661711423904</c:v>
                </c:pt>
                <c:pt idx="151">
                  <c:v>0.91320785781188307</c:v>
                </c:pt>
                <c:pt idx="152">
                  <c:v>0.91986329048302373</c:v>
                </c:pt>
                <c:pt idx="153">
                  <c:v>0.92427022455568597</c:v>
                </c:pt>
                <c:pt idx="154">
                  <c:v>0.91822034903280969</c:v>
                </c:pt>
                <c:pt idx="155">
                  <c:v>0.9195062062823125</c:v>
                </c:pt>
                <c:pt idx="156">
                  <c:v>0.92083082964313512</c:v>
                </c:pt>
                <c:pt idx="157">
                  <c:v>0.92097312045294299</c:v>
                </c:pt>
                <c:pt idx="158">
                  <c:v>0.92416662597323285</c:v>
                </c:pt>
                <c:pt idx="159">
                  <c:v>0.94820853341289313</c:v>
                </c:pt>
                <c:pt idx="160">
                  <c:v>0.94904256217559135</c:v>
                </c:pt>
                <c:pt idx="161">
                  <c:v>0.93240531659597781</c:v>
                </c:pt>
                <c:pt idx="162">
                  <c:v>0.93690461059133645</c:v>
                </c:pt>
                <c:pt idx="163">
                  <c:v>0.95754988357136606</c:v>
                </c:pt>
                <c:pt idx="164">
                  <c:v>0.97745712794976358</c:v>
                </c:pt>
                <c:pt idx="165">
                  <c:v>0.97276231645153033</c:v>
                </c:pt>
                <c:pt idx="166">
                  <c:v>0.96266574643767255</c:v>
                </c:pt>
                <c:pt idx="167">
                  <c:v>0.94905874241389543</c:v>
                </c:pt>
                <c:pt idx="168">
                  <c:v>0.95975924396936907</c:v>
                </c:pt>
                <c:pt idx="169">
                  <c:v>0.95790391521883456</c:v>
                </c:pt>
                <c:pt idx="170">
                  <c:v>0.95727731351221634</c:v>
                </c:pt>
                <c:pt idx="171">
                  <c:v>0.95998602462157578</c:v>
                </c:pt>
                <c:pt idx="172">
                  <c:v>0.95212342807907457</c:v>
                </c:pt>
                <c:pt idx="173">
                  <c:v>0.97079242657707587</c:v>
                </c:pt>
                <c:pt idx="174">
                  <c:v>0.98335351454635433</c:v>
                </c:pt>
                <c:pt idx="175">
                  <c:v>0.96590230857951431</c:v>
                </c:pt>
                <c:pt idx="176">
                  <c:v>0.96794532044294901</c:v>
                </c:pt>
                <c:pt idx="177">
                  <c:v>0.95151218392309966</c:v>
                </c:pt>
                <c:pt idx="178">
                  <c:v>0.95619671016270147</c:v>
                </c:pt>
                <c:pt idx="179">
                  <c:v>0.95874048661401301</c:v>
                </c:pt>
                <c:pt idx="180">
                  <c:v>0.97240944437418564</c:v>
                </c:pt>
                <c:pt idx="181">
                  <c:v>0.9538157548532652</c:v>
                </c:pt>
                <c:pt idx="182">
                  <c:v>0.96272842534330416</c:v>
                </c:pt>
                <c:pt idx="183">
                  <c:v>0.95912409692146161</c:v>
                </c:pt>
                <c:pt idx="184">
                  <c:v>0.97658306877749224</c:v>
                </c:pt>
                <c:pt idx="185">
                  <c:v>0.97514962159838092</c:v>
                </c:pt>
                <c:pt idx="186">
                  <c:v>0.97513174474796926</c:v>
                </c:pt>
                <c:pt idx="187">
                  <c:v>0.95717225241825765</c:v>
                </c:pt>
                <c:pt idx="188">
                  <c:v>0.96929901715841793</c:v>
                </c:pt>
                <c:pt idx="189">
                  <c:v>0.95677848024381185</c:v>
                </c:pt>
                <c:pt idx="190">
                  <c:v>0.95748061872246681</c:v>
                </c:pt>
                <c:pt idx="191">
                  <c:v>0.97533727074325272</c:v>
                </c:pt>
                <c:pt idx="192">
                  <c:v>0.96508795986140083</c:v>
                </c:pt>
                <c:pt idx="193">
                  <c:v>0.9633962557362411</c:v>
                </c:pt>
                <c:pt idx="194">
                  <c:v>0.96295963784928473</c:v>
                </c:pt>
                <c:pt idx="195">
                  <c:v>0.96257098630844784</c:v>
                </c:pt>
                <c:pt idx="196">
                  <c:v>0.96467559645716461</c:v>
                </c:pt>
                <c:pt idx="197">
                  <c:v>0.97871703228074891</c:v>
                </c:pt>
                <c:pt idx="198">
                  <c:v>0.96753463685934382</c:v>
                </c:pt>
                <c:pt idx="199">
                  <c:v>0.98561528994333691</c:v>
                </c:pt>
                <c:pt idx="200">
                  <c:v>0.98397328344961488</c:v>
                </c:pt>
                <c:pt idx="201">
                  <c:v>0.99599569717231073</c:v>
                </c:pt>
                <c:pt idx="202">
                  <c:v>0.98964311899777624</c:v>
                </c:pt>
                <c:pt idx="203">
                  <c:v>1.0061460817636261</c:v>
                </c:pt>
                <c:pt idx="204">
                  <c:v>0.97000826476553637</c:v>
                </c:pt>
                <c:pt idx="205">
                  <c:v>0.95677015704589263</c:v>
                </c:pt>
                <c:pt idx="206">
                  <c:v>0.95013191939083108</c:v>
                </c:pt>
                <c:pt idx="207">
                  <c:v>0.95742141510825862</c:v>
                </c:pt>
                <c:pt idx="208">
                  <c:v>0.96239457944348872</c:v>
                </c:pt>
                <c:pt idx="209">
                  <c:v>0.96535038880733293</c:v>
                </c:pt>
                <c:pt idx="210">
                  <c:v>0.95466681770281414</c:v>
                </c:pt>
                <c:pt idx="211">
                  <c:v>0.94982570339960914</c:v>
                </c:pt>
                <c:pt idx="212">
                  <c:v>0.96732603239725168</c:v>
                </c:pt>
                <c:pt idx="213">
                  <c:v>0.98035707887278722</c:v>
                </c:pt>
                <c:pt idx="214">
                  <c:v>0.96520872307045757</c:v>
                </c:pt>
                <c:pt idx="215">
                  <c:v>0.95943729859136095</c:v>
                </c:pt>
                <c:pt idx="216">
                  <c:v>0.96093918402375877</c:v>
                </c:pt>
                <c:pt idx="217">
                  <c:v>0.96174596194175166</c:v>
                </c:pt>
                <c:pt idx="218">
                  <c:v>0.94713447780596627</c:v>
                </c:pt>
                <c:pt idx="219">
                  <c:v>0.93760247082050685</c:v>
                </c:pt>
                <c:pt idx="220">
                  <c:v>0.93610372059568769</c:v>
                </c:pt>
                <c:pt idx="221">
                  <c:v>0.92187636058732136</c:v>
                </c:pt>
                <c:pt idx="222">
                  <c:v>0.92230578309484923</c:v>
                </c:pt>
                <c:pt idx="223">
                  <c:v>0.91972357738434474</c:v>
                </c:pt>
                <c:pt idx="224">
                  <c:v>0.92350291879167568</c:v>
                </c:pt>
                <c:pt idx="225">
                  <c:v>0.91409154272896365</c:v>
                </c:pt>
                <c:pt idx="226">
                  <c:v>0.91757128641799712</c:v>
                </c:pt>
                <c:pt idx="227">
                  <c:v>0.91962321132516178</c:v>
                </c:pt>
                <c:pt idx="228">
                  <c:v>0.93060892320924349</c:v>
                </c:pt>
                <c:pt idx="229">
                  <c:v>0.92197354830409639</c:v>
                </c:pt>
                <c:pt idx="230">
                  <c:v>0.9218912629979773</c:v>
                </c:pt>
                <c:pt idx="231">
                  <c:v>0.87968700360703145</c:v>
                </c:pt>
                <c:pt idx="232">
                  <c:v>0.90068791796433667</c:v>
                </c:pt>
                <c:pt idx="233">
                  <c:v>0.90009022113825277</c:v>
                </c:pt>
                <c:pt idx="234">
                  <c:v>0.9105674031257055</c:v>
                </c:pt>
                <c:pt idx="235">
                  <c:v>0.90882740718168131</c:v>
                </c:pt>
                <c:pt idx="236">
                  <c:v>0.89773347367259027</c:v>
                </c:pt>
                <c:pt idx="237">
                  <c:v>0.89780440949201079</c:v>
                </c:pt>
                <c:pt idx="238">
                  <c:v>0.88811713114484936</c:v>
                </c:pt>
                <c:pt idx="239">
                  <c:v>0.88648994817671689</c:v>
                </c:pt>
                <c:pt idx="240">
                  <c:v>0.87707673136116004</c:v>
                </c:pt>
                <c:pt idx="241">
                  <c:v>0.88407545743595894</c:v>
                </c:pt>
                <c:pt idx="242">
                  <c:v>0.85116569775085826</c:v>
                </c:pt>
                <c:pt idx="243">
                  <c:v>0.8548019315540043</c:v>
                </c:pt>
                <c:pt idx="244">
                  <c:v>0.85020094253592171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FC-4D32-BB92-436F5B8D4BAE}"/>
            </c:ext>
          </c:extLst>
        </c:ser>
        <c:ser>
          <c:idx val="4"/>
          <c:order val="4"/>
          <c:tx>
            <c:strRef>
              <c:f>Backtest!$AF$1</c:f>
              <c:strCache>
                <c:ptCount val="1"/>
                <c:pt idx="0">
                  <c:v>HSI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Backtest!$AA$5:$AA$249</c:f>
              <c:numCache>
                <c:formatCode>General</c:formatCode>
                <c:ptCount val="2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</c:numCache>
            </c:numRef>
          </c:xVal>
          <c:yVal>
            <c:numRef>
              <c:f>Backtest!$AF$5:$AF$249</c:f>
              <c:numCache>
                <c:formatCode>General</c:formatCode>
                <c:ptCount val="245"/>
                <c:pt idx="0">
                  <c:v>1</c:v>
                </c:pt>
                <c:pt idx="1">
                  <c:v>0.99797994001903234</c:v>
                </c:pt>
                <c:pt idx="2">
                  <c:v>0.98554871649838816</c:v>
                </c:pt>
                <c:pt idx="3">
                  <c:v>0.99139028002764384</c:v>
                </c:pt>
                <c:pt idx="4">
                  <c:v>1.002028701252039</c:v>
                </c:pt>
                <c:pt idx="5">
                  <c:v>1.001891105849128</c:v>
                </c:pt>
                <c:pt idx="6">
                  <c:v>0.99969364161221486</c:v>
                </c:pt>
                <c:pt idx="7">
                  <c:v>1.0075897562789247</c:v>
                </c:pt>
                <c:pt idx="8">
                  <c:v>1.0207761665615804</c:v>
                </c:pt>
                <c:pt idx="9">
                  <c:v>1.0470051878013968</c:v>
                </c:pt>
                <c:pt idx="10">
                  <c:v>1.0402110180305049</c:v>
                </c:pt>
                <c:pt idx="11">
                  <c:v>1.0529024394211619</c:v>
                </c:pt>
                <c:pt idx="12">
                  <c:v>1.0544339360270385</c:v>
                </c:pt>
                <c:pt idx="13">
                  <c:v>1.0512680601253692</c:v>
                </c:pt>
                <c:pt idx="14">
                  <c:v>1.0539475883304814</c:v>
                </c:pt>
                <c:pt idx="15">
                  <c:v>1.0552733934843253</c:v>
                </c:pt>
                <c:pt idx="16">
                  <c:v>1.0536776414068525</c:v>
                </c:pt>
                <c:pt idx="17">
                  <c:v>1.0673366619749549</c:v>
                </c:pt>
                <c:pt idx="18">
                  <c:v>1.0708901388316545</c:v>
                </c:pt>
                <c:pt idx="19">
                  <c:v>1.0659878134694021</c:v>
                </c:pt>
                <c:pt idx="20">
                  <c:v>1.0793655131234532</c:v>
                </c:pt>
                <c:pt idx="21">
                  <c:v>1.0758858193110863</c:v>
                </c:pt>
                <c:pt idx="22">
                  <c:v>1.0673657615827232</c:v>
                </c:pt>
                <c:pt idx="23">
                  <c:v>1.0709911012139004</c:v>
                </c:pt>
                <c:pt idx="24">
                  <c:v>1.0621371364611762</c:v>
                </c:pt>
                <c:pt idx="25">
                  <c:v>1.0800265323566045</c:v>
                </c:pt>
                <c:pt idx="26">
                  <c:v>1.0829458000572176</c:v>
                </c:pt>
                <c:pt idx="27">
                  <c:v>1.0949232468057501</c:v>
                </c:pt>
                <c:pt idx="28">
                  <c:v>1.0922838229001659</c:v>
                </c:pt>
                <c:pt idx="29">
                  <c:v>1.0880655601227736</c:v>
                </c:pt>
                <c:pt idx="30">
                  <c:v>1.0922043528984364</c:v>
                </c:pt>
                <c:pt idx="31">
                  <c:v>1.0987607034436828</c:v>
                </c:pt>
                <c:pt idx="32">
                  <c:v>1.0889095967170972</c:v>
                </c:pt>
                <c:pt idx="33">
                  <c:v>1.05825772910603</c:v>
                </c:pt>
                <c:pt idx="34">
                  <c:v>1.0717087686913962</c:v>
                </c:pt>
                <c:pt idx="35">
                  <c:v>1.0553758330234084</c:v>
                </c:pt>
                <c:pt idx="36">
                  <c:v>1.0569081420409661</c:v>
                </c:pt>
                <c:pt idx="37">
                  <c:v>1.0270719499759657</c:v>
                </c:pt>
                <c:pt idx="38">
                  <c:v>1.0001667688628491</c:v>
                </c:pt>
                <c:pt idx="39">
                  <c:v>0.99500505808007977</c:v>
                </c:pt>
                <c:pt idx="40">
                  <c:v>0.99668212665259692</c:v>
                </c:pt>
                <c:pt idx="41">
                  <c:v>1.0087450258445636</c:v>
                </c:pt>
                <c:pt idx="42">
                  <c:v>1.012933376564692</c:v>
                </c:pt>
                <c:pt idx="43">
                  <c:v>1.0396668404170741</c:v>
                </c:pt>
                <c:pt idx="44">
                  <c:v>1.0362850808211088</c:v>
                </c:pt>
                <c:pt idx="45">
                  <c:v>1.0301239385337742</c:v>
                </c:pt>
                <c:pt idx="46">
                  <c:v>1.0430770348756517</c:v>
                </c:pt>
                <c:pt idx="47">
                  <c:v>1.0521442244933057</c:v>
                </c:pt>
                <c:pt idx="48">
                  <c:v>1.0486024908878766</c:v>
                </c:pt>
                <c:pt idx="49">
                  <c:v>1.0518394170767129</c:v>
                </c:pt>
                <c:pt idx="50">
                  <c:v>1.0572847383420521</c:v>
                </c:pt>
                <c:pt idx="51">
                  <c:v>1.0410470780989136</c:v>
                </c:pt>
                <c:pt idx="52">
                  <c:v>1.0457970366789546</c:v>
                </c:pt>
                <c:pt idx="53">
                  <c:v>1.0440329646918109</c:v>
                </c:pt>
                <c:pt idx="54">
                  <c:v>1.0326753250187277</c:v>
                </c:pt>
                <c:pt idx="55">
                  <c:v>1.0142243951155563</c:v>
                </c:pt>
                <c:pt idx="56">
                  <c:v>1.0169602761563339</c:v>
                </c:pt>
                <c:pt idx="57">
                  <c:v>1.0095205970911025</c:v>
                </c:pt>
                <c:pt idx="58">
                  <c:v>1.0126262796173953</c:v>
                </c:pt>
                <c:pt idx="59">
                  <c:v>0.98809626244363069</c:v>
                </c:pt>
                <c:pt idx="60">
                  <c:v>0.99421279518438488</c:v>
                </c:pt>
                <c:pt idx="61">
                  <c:v>0.99395340976386792</c:v>
                </c:pt>
                <c:pt idx="62">
                  <c:v>0.99158053539303437</c:v>
                </c:pt>
                <c:pt idx="63">
                  <c:v>1.0122197712590453</c:v>
                </c:pt>
                <c:pt idx="64">
                  <c:v>0.98872928988937347</c:v>
                </c:pt>
                <c:pt idx="65">
                  <c:v>0.94689829471934284</c:v>
                </c:pt>
                <c:pt idx="66">
                  <c:v>0.96021092645230199</c:v>
                </c:pt>
                <c:pt idx="67">
                  <c:v>0.95412652144734589</c:v>
                </c:pt>
                <c:pt idx="68">
                  <c:v>0.91924095497224434</c:v>
                </c:pt>
                <c:pt idx="69">
                  <c:v>0.90879803291980343</c:v>
                </c:pt>
                <c:pt idx="70">
                  <c:v>0.87214270750016176</c:v>
                </c:pt>
                <c:pt idx="71">
                  <c:v>0.87971170995808112</c:v>
                </c:pt>
                <c:pt idx="72">
                  <c:v>0.84295918884373477</c:v>
                </c:pt>
                <c:pt idx="73">
                  <c:v>0.82092494387876924</c:v>
                </c:pt>
                <c:pt idx="74">
                  <c:v>0.86236759953425779</c:v>
                </c:pt>
                <c:pt idx="75">
                  <c:v>0.82043335237564829</c:v>
                </c:pt>
                <c:pt idx="76">
                  <c:v>0.85701378693059749</c:v>
                </c:pt>
                <c:pt idx="77">
                  <c:v>0.88967434057002448</c:v>
                </c:pt>
                <c:pt idx="78">
                  <c:v>0.88306244963860825</c:v>
                </c:pt>
                <c:pt idx="79">
                  <c:v>0.8880517045633175</c:v>
                </c:pt>
                <c:pt idx="80">
                  <c:v>0.8763605271267213</c:v>
                </c:pt>
                <c:pt idx="81">
                  <c:v>0.89255926481849068</c:v>
                </c:pt>
                <c:pt idx="82">
                  <c:v>0.87298290355477459</c:v>
                </c:pt>
                <c:pt idx="83">
                  <c:v>0.88032922746501208</c:v>
                </c:pt>
                <c:pt idx="84">
                  <c:v>0.87866722571828859</c:v>
                </c:pt>
                <c:pt idx="85">
                  <c:v>0.8980665520247223</c:v>
                </c:pt>
                <c:pt idx="86">
                  <c:v>0.91713160200813182</c:v>
                </c:pt>
                <c:pt idx="87">
                  <c:v>0.9064330612605298</c:v>
                </c:pt>
                <c:pt idx="88">
                  <c:v>0.91891044533676125</c:v>
                </c:pt>
                <c:pt idx="89">
                  <c:v>0.9240180928901981</c:v>
                </c:pt>
                <c:pt idx="90">
                  <c:v>0.91304953132898281</c:v>
                </c:pt>
                <c:pt idx="91">
                  <c:v>0.90779741970489436</c:v>
                </c:pt>
                <c:pt idx="92">
                  <c:v>0.92192314200672321</c:v>
                </c:pt>
                <c:pt idx="93">
                  <c:v>0.92003314401576963</c:v>
                </c:pt>
                <c:pt idx="94">
                  <c:v>0.8997467225396244</c:v>
                </c:pt>
                <c:pt idx="95">
                  <c:v>0.90352095767415075</c:v>
                </c:pt>
                <c:pt idx="96">
                  <c:v>0.90669591795990923</c:v>
                </c:pt>
                <c:pt idx="97">
                  <c:v>0.90117533649339976</c:v>
                </c:pt>
                <c:pt idx="98">
                  <c:v>0.9181469866023414</c:v>
                </c:pt>
                <c:pt idx="99">
                  <c:v>0.92933335216552315</c:v>
                </c:pt>
                <c:pt idx="100">
                  <c:v>0.93189072105436632</c:v>
                </c:pt>
                <c:pt idx="101">
                  <c:v>0.89294952464070287</c:v>
                </c:pt>
                <c:pt idx="102">
                  <c:v>0.90258696335152599</c:v>
                </c:pt>
                <c:pt idx="103">
                  <c:v>0.91275233117745658</c:v>
                </c:pt>
                <c:pt idx="104">
                  <c:v>0.90682110536639315</c:v>
                </c:pt>
                <c:pt idx="105">
                  <c:v>0.91625735791005081</c:v>
                </c:pt>
                <c:pt idx="106">
                  <c:v>0.93032030185930614</c:v>
                </c:pt>
                <c:pt idx="107">
                  <c:v>0.91684385553935799</c:v>
                </c:pt>
                <c:pt idx="108">
                  <c:v>0.91437156975747103</c:v>
                </c:pt>
                <c:pt idx="109">
                  <c:v>0.90111521697019303</c:v>
                </c:pt>
                <c:pt idx="110">
                  <c:v>0.89989495333563174</c:v>
                </c:pt>
                <c:pt idx="111">
                  <c:v>0.90508687158434398</c:v>
                </c:pt>
                <c:pt idx="112">
                  <c:v>0.92223060825268277</c:v>
                </c:pt>
                <c:pt idx="113">
                  <c:v>0.92267751635705375</c:v>
                </c:pt>
                <c:pt idx="114">
                  <c:v>0.91814277676396761</c:v>
                </c:pt>
                <c:pt idx="115">
                  <c:v>0.86709709973978699</c:v>
                </c:pt>
                <c:pt idx="116">
                  <c:v>0.86793279050953276</c:v>
                </c:pt>
                <c:pt idx="117">
                  <c:v>0.884284633543025</c:v>
                </c:pt>
                <c:pt idx="118">
                  <c:v>0.8811346369166454</c:v>
                </c:pt>
                <c:pt idx="119">
                  <c:v>0.87475908805403735</c:v>
                </c:pt>
                <c:pt idx="120">
                  <c:v>0.86828183821185734</c:v>
                </c:pt>
                <c:pt idx="121">
                  <c:v>0.89743884223771309</c:v>
                </c:pt>
                <c:pt idx="122">
                  <c:v>0.90739999573063368</c:v>
                </c:pt>
                <c:pt idx="123">
                  <c:v>0.91986674445158345</c:v>
                </c:pt>
                <c:pt idx="124">
                  <c:v>0.92140510972520073</c:v>
                </c:pt>
                <c:pt idx="125">
                  <c:v>0.9366863970391619</c:v>
                </c:pt>
                <c:pt idx="126">
                  <c:v>0.93692687509417416</c:v>
                </c:pt>
                <c:pt idx="127">
                  <c:v>0.94753206072459684</c:v>
                </c:pt>
                <c:pt idx="128">
                  <c:v>0.94724881954069018</c:v>
                </c:pt>
                <c:pt idx="129">
                  <c:v>0.92571030210286431</c:v>
                </c:pt>
                <c:pt idx="130">
                  <c:v>0.91895018033762599</c:v>
                </c:pt>
                <c:pt idx="131">
                  <c:v>0.89911893893826011</c:v>
                </c:pt>
                <c:pt idx="132">
                  <c:v>0.92056520911708106</c:v>
                </c:pt>
                <c:pt idx="133">
                  <c:v>0.92575793977747434</c:v>
                </c:pt>
                <c:pt idx="134">
                  <c:v>0.92513510457399517</c:v>
                </c:pt>
                <c:pt idx="135">
                  <c:v>0.93190209500697407</c:v>
                </c:pt>
                <c:pt idx="136">
                  <c:v>0.92688972287838645</c:v>
                </c:pt>
                <c:pt idx="137">
                  <c:v>0.94186435635806909</c:v>
                </c:pt>
                <c:pt idx="138">
                  <c:v>0.9371087846349867</c:v>
                </c:pt>
                <c:pt idx="139">
                  <c:v>0.92835127697964104</c:v>
                </c:pt>
                <c:pt idx="140">
                  <c:v>0.91894633979791518</c:v>
                </c:pt>
                <c:pt idx="141">
                  <c:v>0.92370759847839412</c:v>
                </c:pt>
                <c:pt idx="142">
                  <c:v>0.95006446599187588</c:v>
                </c:pt>
                <c:pt idx="143">
                  <c:v>0.95947767518382476</c:v>
                </c:pt>
                <c:pt idx="144">
                  <c:v>0.99600825631000056</c:v>
                </c:pt>
                <c:pt idx="145">
                  <c:v>0.98226260158812018</c:v>
                </c:pt>
                <c:pt idx="146">
                  <c:v>0.9880679013953737</c:v>
                </c:pt>
                <c:pt idx="147">
                  <c:v>0.99113015600980092</c:v>
                </c:pt>
                <c:pt idx="148">
                  <c:v>0.97287509461506161</c:v>
                </c:pt>
                <c:pt idx="149">
                  <c:v>0.97456575285653524</c:v>
                </c:pt>
                <c:pt idx="150">
                  <c:v>0.96343958066872992</c:v>
                </c:pt>
                <c:pt idx="151">
                  <c:v>0.9635790963414963</c:v>
                </c:pt>
                <c:pt idx="152">
                  <c:v>0.94425990478194843</c:v>
                </c:pt>
                <c:pt idx="153">
                  <c:v>0.94874021184703916</c:v>
                </c:pt>
                <c:pt idx="154">
                  <c:v>0.94756116033236526</c:v>
                </c:pt>
                <c:pt idx="155">
                  <c:v>0.96940559304495832</c:v>
                </c:pt>
                <c:pt idx="156">
                  <c:v>0.9475592400625098</c:v>
                </c:pt>
                <c:pt idx="157">
                  <c:v>0.95531354948793468</c:v>
                </c:pt>
                <c:pt idx="158">
                  <c:v>0.93422541139552762</c:v>
                </c:pt>
                <c:pt idx="159">
                  <c:v>0.93036565000321225</c:v>
                </c:pt>
                <c:pt idx="160">
                  <c:v>0.93677524690928859</c:v>
                </c:pt>
                <c:pt idx="161">
                  <c:v>0.94094926940094903</c:v>
                </c:pt>
                <c:pt idx="162">
                  <c:v>0.93442430803198939</c:v>
                </c:pt>
                <c:pt idx="163">
                  <c:v>0.93006652954401603</c:v>
                </c:pt>
                <c:pt idx="164">
                  <c:v>0.92487763942333368</c:v>
                </c:pt>
                <c:pt idx="165">
                  <c:v>0.94335013552137659</c:v>
                </c:pt>
                <c:pt idx="166">
                  <c:v>0.94924576231777946</c:v>
                </c:pt>
                <c:pt idx="167">
                  <c:v>0.94274317955537235</c:v>
                </c:pt>
                <c:pt idx="168">
                  <c:v>0.92765657903949916</c:v>
                </c:pt>
                <c:pt idx="169">
                  <c:v>0.92182594634983317</c:v>
                </c:pt>
                <c:pt idx="170">
                  <c:v>0.94123435704035618</c:v>
                </c:pt>
                <c:pt idx="171">
                  <c:v>0.95459580815826939</c:v>
                </c:pt>
                <c:pt idx="172">
                  <c:v>0.95409099628485505</c:v>
                </c:pt>
                <c:pt idx="173">
                  <c:v>0.95228874030585375</c:v>
                </c:pt>
                <c:pt idx="174">
                  <c:v>0.95850283800216085</c:v>
                </c:pt>
                <c:pt idx="175">
                  <c:v>0.95926068359353933</c:v>
                </c:pt>
                <c:pt idx="176">
                  <c:v>0.95213371465646079</c:v>
                </c:pt>
                <c:pt idx="177">
                  <c:v>0.93747976783084574</c:v>
                </c:pt>
                <c:pt idx="178">
                  <c:v>0.94967309831148949</c:v>
                </c:pt>
                <c:pt idx="179">
                  <c:v>0.96622612751214731</c:v>
                </c:pt>
                <c:pt idx="180">
                  <c:v>0.96375458032758643</c:v>
                </c:pt>
                <c:pt idx="181">
                  <c:v>0.96396514636314934</c:v>
                </c:pt>
                <c:pt idx="182">
                  <c:v>0.95599990164131321</c:v>
                </c:pt>
                <c:pt idx="183">
                  <c:v>0.96132838128693177</c:v>
                </c:pt>
                <c:pt idx="184">
                  <c:v>0.95206340289099034</c:v>
                </c:pt>
                <c:pt idx="185">
                  <c:v>0.95235831347399813</c:v>
                </c:pt>
                <c:pt idx="186">
                  <c:v>0.94990944038029757</c:v>
                </c:pt>
                <c:pt idx="187">
                  <c:v>0.94565565240259974</c:v>
                </c:pt>
                <c:pt idx="188">
                  <c:v>0.93385176937030168</c:v>
                </c:pt>
                <c:pt idx="189">
                  <c:v>0.92985101514838264</c:v>
                </c:pt>
                <c:pt idx="190">
                  <c:v>0.9311627874824373</c:v>
                </c:pt>
                <c:pt idx="191">
                  <c:v>0.92528599423718405</c:v>
                </c:pt>
                <c:pt idx="192">
                  <c:v>0.91940993955144212</c:v>
                </c:pt>
                <c:pt idx="193">
                  <c:v>0.9265860971721378</c:v>
                </c:pt>
                <c:pt idx="194">
                  <c:v>0.93176553361006775</c:v>
                </c:pt>
                <c:pt idx="195">
                  <c:v>0.93526265766891659</c:v>
                </c:pt>
                <c:pt idx="196">
                  <c:v>0.93499307996832137</c:v>
                </c:pt>
                <c:pt idx="197">
                  <c:v>0.92044268050214928</c:v>
                </c:pt>
                <c:pt idx="198">
                  <c:v>0.92477475677123255</c:v>
                </c:pt>
                <c:pt idx="199">
                  <c:v>0.90568887915246288</c:v>
                </c:pt>
                <c:pt idx="200">
                  <c:v>0.89684628835234637</c:v>
                </c:pt>
                <c:pt idx="201">
                  <c:v>0.89781662028695775</c:v>
                </c:pt>
                <c:pt idx="202">
                  <c:v>0.88150185342496334</c:v>
                </c:pt>
                <c:pt idx="203">
                  <c:v>0.87864115423855005</c:v>
                </c:pt>
                <c:pt idx="204">
                  <c:v>0.8877405454441718</c:v>
                </c:pt>
                <c:pt idx="205">
                  <c:v>0.88015787946512625</c:v>
                </c:pt>
                <c:pt idx="206">
                  <c:v>0.88709769501701374</c:v>
                </c:pt>
                <c:pt idx="207">
                  <c:v>0.89877218080445387</c:v>
                </c:pt>
                <c:pt idx="208">
                  <c:v>0.90682184396371912</c:v>
                </c:pt>
                <c:pt idx="209">
                  <c:v>0.91673720616190091</c:v>
                </c:pt>
                <c:pt idx="210">
                  <c:v>0.91486500767827761</c:v>
                </c:pt>
                <c:pt idx="211">
                  <c:v>0.9120584456111811</c:v>
                </c:pt>
                <c:pt idx="212">
                  <c:v>0.93212100686711497</c:v>
                </c:pt>
                <c:pt idx="213">
                  <c:v>0.93277936723308486</c:v>
                </c:pt>
                <c:pt idx="214">
                  <c:v>0.9135486562450007</c:v>
                </c:pt>
                <c:pt idx="215">
                  <c:v>0.92217986859787338</c:v>
                </c:pt>
                <c:pt idx="216">
                  <c:v>0.92805895141164507</c:v>
                </c:pt>
                <c:pt idx="217">
                  <c:v>0.92909051068982285</c:v>
                </c:pt>
                <c:pt idx="218">
                  <c:v>0.9360817306416761</c:v>
                </c:pt>
                <c:pt idx="219">
                  <c:v>0.93728087119438397</c:v>
                </c:pt>
                <c:pt idx="220">
                  <c:v>0.94229693619615773</c:v>
                </c:pt>
                <c:pt idx="221">
                  <c:v>0.93732090164174198</c:v>
                </c:pt>
                <c:pt idx="222">
                  <c:v>0.93435665509588584</c:v>
                </c:pt>
                <c:pt idx="223">
                  <c:v>0.9297356506476846</c:v>
                </c:pt>
                <c:pt idx="224">
                  <c:v>0.91161559967865935</c:v>
                </c:pt>
                <c:pt idx="225">
                  <c:v>0.9249486897861301</c:v>
                </c:pt>
                <c:pt idx="226">
                  <c:v>0.94308919912966716</c:v>
                </c:pt>
                <c:pt idx="227">
                  <c:v>0.94106271359397686</c:v>
                </c:pt>
                <c:pt idx="228">
                  <c:v>0.97168429988693161</c:v>
                </c:pt>
                <c:pt idx="229">
                  <c:v>0.97232907058394502</c:v>
                </c:pt>
                <c:pt idx="230">
                  <c:v>0.98379446749265986</c:v>
                </c:pt>
                <c:pt idx="231">
                  <c:v>0.99458340908158083</c:v>
                </c:pt>
                <c:pt idx="232">
                  <c:v>0.99176621162138801</c:v>
                </c:pt>
                <c:pt idx="233">
                  <c:v>0.98958809786299762</c:v>
                </c:pt>
                <c:pt idx="234">
                  <c:v>0.98911460131370033</c:v>
                </c:pt>
                <c:pt idx="235">
                  <c:v>0.9976157516765588</c:v>
                </c:pt>
                <c:pt idx="236">
                  <c:v>0.99887951703734046</c:v>
                </c:pt>
                <c:pt idx="237">
                  <c:v>1.003765150750437</c:v>
                </c:pt>
                <c:pt idx="238">
                  <c:v>0.99668175735393394</c:v>
                </c:pt>
                <c:pt idx="239">
                  <c:v>1.0002578344493247</c:v>
                </c:pt>
                <c:pt idx="240">
                  <c:v>1.0015684989252049</c:v>
                </c:pt>
                <c:pt idx="241">
                  <c:v>1.0054256014881535</c:v>
                </c:pt>
                <c:pt idx="242">
                  <c:v>1.0085094223352669</c:v>
                </c:pt>
                <c:pt idx="243">
                  <c:v>1.0141702580340539</c:v>
                </c:pt>
                <c:pt idx="244">
                  <c:v>1.0170150779829925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FC-4D32-BB92-436F5B8D4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24"/>
        <c:axId val="327320112"/>
      </c:scatterChart>
      <c:valAx>
        <c:axId val="345824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320112"/>
        <c:crosses val="autoZero"/>
        <c:crossBetween val="midCat"/>
      </c:valAx>
      <c:valAx>
        <c:axId val="327320112"/>
        <c:scaling>
          <c:orientation val="minMax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.66666666666666663"/>
          <c:y val="6.8575021872265995E-2"/>
          <c:w val="0.26125021872265974"/>
          <c:h val="0.22396106736657923"/>
        </c:manualLayout>
      </c:layout>
      <c:overlay val="1"/>
      <c:spPr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723900</xdr:colOff>
      <xdr:row>11</xdr:row>
      <xdr:rowOff>133350</xdr:rowOff>
    </xdr:from>
    <xdr:ext cx="199315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315825" y="1914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HK"/>
        </a:p>
      </xdr:txBody>
    </xdr:sp>
    <xdr:clientData/>
  </xdr:oneCellAnchor>
  <xdr:twoCellAnchor>
    <xdr:from>
      <xdr:col>12</xdr:col>
      <xdr:colOff>366713</xdr:colOff>
      <xdr:row>7</xdr:row>
      <xdr:rowOff>38100</xdr:rowOff>
    </xdr:from>
    <xdr:to>
      <xdr:col>18</xdr:col>
      <xdr:colOff>457200</xdr:colOff>
      <xdr:row>32</xdr:row>
      <xdr:rowOff>76200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372850" y="1171575"/>
          <a:ext cx="4505325" cy="408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calculation of eigenvectors</a:t>
          </a:r>
          <a:r>
            <a:rPr lang="en-US" sz="1100" baseline="0"/>
            <a:t> and eigenvalues involves the use of array functions</a:t>
          </a:r>
        </a:p>
        <a:p>
          <a:endParaRPr lang="en-US" sz="1100" baseline="0"/>
        </a:p>
        <a:p>
          <a:r>
            <a:rPr lang="en-US" sz="1100" b="1" baseline="0"/>
            <a:t>Eigenvalues</a:t>
          </a:r>
        </a:p>
        <a:p>
          <a:r>
            <a:rPr lang="en-US" sz="1100" baseline="0"/>
            <a:t>1. Select a range of cells that corresponds to the size of the matrix. (In the example the matrix is 9 by 9 and  cells C13:K21 are selected.) </a:t>
          </a:r>
        </a:p>
        <a:p>
          <a:r>
            <a:rPr lang="en-US" sz="1100" baseline="0"/>
            <a:t>2. While selected cells are displayed enter  =eigenvalue(...) .  The argument of eigenvalue  should be the range of cells corresponding to the original matrix. (In the example this is C1:K9 so that the formula entered is =eigenvalue(C1:K9)</a:t>
          </a:r>
        </a:p>
        <a:p>
          <a:r>
            <a:rPr lang="en-US" sz="1100" baseline="0"/>
            <a:t>3. Press Control+Shift+Enter</a:t>
          </a:r>
        </a:p>
        <a:p>
          <a:r>
            <a:rPr lang="en-US" sz="1100"/>
            <a:t>4. The eigenvalues are displayed on the diagonal of the</a:t>
          </a:r>
          <a:r>
            <a:rPr lang="en-US" sz="1100" baseline="0"/>
            <a:t> matrix that is produced</a:t>
          </a:r>
        </a:p>
        <a:p>
          <a:endParaRPr lang="en-US" sz="1100" baseline="0"/>
        </a:p>
        <a:p>
          <a:r>
            <a:rPr lang="en-US" sz="1100" b="1" baseline="0"/>
            <a:t>Eigenvectors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Select a range of cells that corresponds to the size of the matrix. (In the example the matrix is 9 by 9 and  cells C25:K33 are selected.)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While selected cells are displayed enter  =eigenvector(...) .  The argument of eigenvalue  should be the range of cells corresponding to the original matrix. (In the example this is C1:K9 so that the formula entered is =eigenvector(C1:K9)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Press Control+Shift+Enter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The eigenvectors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are the columns of the  matrix that is produced</a:t>
          </a:r>
          <a:endParaRPr lang="en-US">
            <a:effectLst/>
          </a:endParaRPr>
        </a:p>
        <a:p>
          <a:endParaRPr lang="en-US" sz="1100" b="1"/>
        </a:p>
      </xdr:txBody>
    </xdr:sp>
    <xdr:clientData/>
  </xdr:twoCellAnchor>
  <xdr:twoCellAnchor>
    <xdr:from>
      <xdr:col>0</xdr:col>
      <xdr:colOff>61914</xdr:colOff>
      <xdr:row>1</xdr:row>
      <xdr:rowOff>38100</xdr:rowOff>
    </xdr:from>
    <xdr:to>
      <xdr:col>1</xdr:col>
      <xdr:colOff>528638</xdr:colOff>
      <xdr:row>6</xdr:row>
      <xdr:rowOff>76199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7151" y="200025"/>
          <a:ext cx="1047749" cy="8477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Matrix for which eigenvalues and eigenvectors are required is in F1:N9</a:t>
          </a:r>
        </a:p>
      </xdr:txBody>
    </xdr:sp>
    <xdr:clientData/>
  </xdr:twoCellAnchor>
  <xdr:twoCellAnchor>
    <xdr:from>
      <xdr:col>0</xdr:col>
      <xdr:colOff>1</xdr:colOff>
      <xdr:row>13</xdr:row>
      <xdr:rowOff>66675</xdr:rowOff>
    </xdr:from>
    <xdr:to>
      <xdr:col>1</xdr:col>
      <xdr:colOff>571501</xdr:colOff>
      <xdr:row>17</xdr:row>
      <xdr:rowOff>76200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" y="2171700"/>
          <a:ext cx="114300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Eigenvalues are on diagonal in C13:K21</a:t>
          </a:r>
        </a:p>
      </xdr:txBody>
    </xdr:sp>
    <xdr:clientData/>
  </xdr:twoCellAnchor>
  <xdr:twoCellAnchor>
    <xdr:from>
      <xdr:col>0</xdr:col>
      <xdr:colOff>19050</xdr:colOff>
      <xdr:row>26</xdr:row>
      <xdr:rowOff>28575</xdr:rowOff>
    </xdr:from>
    <xdr:to>
      <xdr:col>1</xdr:col>
      <xdr:colOff>561975</xdr:colOff>
      <xdr:row>30</xdr:row>
      <xdr:rowOff>123825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9050" y="4238625"/>
          <a:ext cx="111442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Eigenvectors</a:t>
          </a:r>
          <a:r>
            <a:rPr lang="en-US" sz="1100" baseline="0"/>
            <a:t> are in columns  of C25:K23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71</xdr:row>
      <xdr:rowOff>0</xdr:rowOff>
    </xdr:from>
    <xdr:to>
      <xdr:col>32</xdr:col>
      <xdr:colOff>371475</xdr:colOff>
      <xdr:row>87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555767A-D2B7-47F1-A3F6-CD87D526ED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71</xdr:row>
      <xdr:rowOff>0</xdr:rowOff>
    </xdr:from>
    <xdr:to>
      <xdr:col>40</xdr:col>
      <xdr:colOff>371475</xdr:colOff>
      <xdr:row>87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5D78CD5-B8E3-4463-890B-2ED75E91F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0</xdr:colOff>
      <xdr:row>71</xdr:row>
      <xdr:rowOff>0</xdr:rowOff>
    </xdr:from>
    <xdr:to>
      <xdr:col>48</xdr:col>
      <xdr:colOff>371475</xdr:colOff>
      <xdr:row>87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3350BF6-8BD6-498E-BB97-C9846D0D0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64</xdr:col>
      <xdr:colOff>0</xdr:colOff>
      <xdr:row>0</xdr:row>
      <xdr:rowOff>0</xdr:rowOff>
    </xdr:from>
    <xdr:to>
      <xdr:col>71</xdr:col>
      <xdr:colOff>371475</xdr:colOff>
      <xdr:row>16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A3F8ED5-2624-419D-943D-3D4119104F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0</xdr:row>
      <xdr:rowOff>0</xdr:rowOff>
    </xdr:from>
    <xdr:to>
      <xdr:col>46</xdr:col>
      <xdr:colOff>304800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965129-EC0C-4655-B5DA-5678CE311B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1:K33"/>
  <sheetViews>
    <sheetView topLeftCell="B1" workbookViewId="0">
      <selection activeCell="K33" sqref="K33"/>
    </sheetView>
  </sheetViews>
  <sheetFormatPr defaultRowHeight="12.75" x14ac:dyDescent="0.2"/>
  <cols>
    <col min="2" max="2" width="21" customWidth="1"/>
    <col min="3" max="6" width="12.5703125" bestFit="1" customWidth="1"/>
    <col min="7" max="7" width="13.140625" bestFit="1" customWidth="1"/>
    <col min="8" max="10" width="12.42578125" bestFit="1" customWidth="1"/>
    <col min="11" max="11" width="9.28515625" bestFit="1" customWidth="1"/>
    <col min="14" max="14" width="20.5703125" bestFit="1" customWidth="1"/>
  </cols>
  <sheetData>
    <row r="1" spans="3:11" x14ac:dyDescent="0.2">
      <c r="C1" s="1">
        <v>0.9042</v>
      </c>
      <c r="D1" s="1">
        <v>8.9200000000000002E-2</v>
      </c>
      <c r="E1" s="1">
        <v>6.1999999999999998E-3</v>
      </c>
      <c r="F1" s="1">
        <v>1E-4</v>
      </c>
      <c r="G1" s="1">
        <v>2.9999999999999997E-4</v>
      </c>
      <c r="H1" s="1">
        <v>0</v>
      </c>
      <c r="I1" s="1">
        <v>0</v>
      </c>
      <c r="J1" s="1">
        <v>0</v>
      </c>
      <c r="K1" s="1">
        <v>0</v>
      </c>
    </row>
    <row r="2" spans="3:11" x14ac:dyDescent="0.2">
      <c r="C2" s="1">
        <v>1.0200000000000001E-2</v>
      </c>
      <c r="D2" s="1">
        <v>0.9012</v>
      </c>
      <c r="E2" s="1">
        <v>8.3799999999999999E-2</v>
      </c>
      <c r="F2" s="1">
        <v>3.8E-3</v>
      </c>
      <c r="G2" s="1">
        <v>5.0000000000000001E-4</v>
      </c>
      <c r="H2" s="1">
        <v>2.0000000000000001E-4</v>
      </c>
      <c r="I2" s="1">
        <v>1E-4</v>
      </c>
      <c r="J2" s="1">
        <v>0</v>
      </c>
      <c r="K2" s="1">
        <v>2.0000000000000001E-4</v>
      </c>
    </row>
    <row r="3" spans="3:11" x14ac:dyDescent="0.2">
      <c r="C3" s="1">
        <v>5.9999999999999995E-4</v>
      </c>
      <c r="D3" s="1">
        <v>2.8199999999999999E-2</v>
      </c>
      <c r="E3" s="1">
        <v>0.90880000000000005</v>
      </c>
      <c r="F3" s="1">
        <v>5.5199999999999999E-2</v>
      </c>
      <c r="G3" s="1">
        <v>5.1000000000000004E-3</v>
      </c>
      <c r="H3" s="1">
        <v>1.1000000000000001E-3</v>
      </c>
      <c r="I3" s="1">
        <v>2.9999999999999997E-4</v>
      </c>
      <c r="J3" s="1">
        <v>1E-4</v>
      </c>
      <c r="K3" s="1">
        <v>5.9999999999999995E-4</v>
      </c>
    </row>
    <row r="4" spans="3:11" x14ac:dyDescent="0.2">
      <c r="C4" s="1">
        <v>5.0000000000000001E-4</v>
      </c>
      <c r="D4" s="1">
        <v>1.9E-3</v>
      </c>
      <c r="E4" s="1">
        <v>4.7899999999999998E-2</v>
      </c>
      <c r="F4" s="1">
        <v>0.89410000000000001</v>
      </c>
      <c r="G4" s="1">
        <v>4.3499999999999997E-2</v>
      </c>
      <c r="H4" s="1">
        <v>8.2000000000000007E-3</v>
      </c>
      <c r="I4" s="1">
        <v>1.8E-3</v>
      </c>
      <c r="J4" s="1">
        <v>2.0000000000000001E-4</v>
      </c>
      <c r="K4" s="1">
        <v>1.9E-3</v>
      </c>
    </row>
    <row r="5" spans="3:11" x14ac:dyDescent="0.2">
      <c r="C5" s="1">
        <v>1E-4</v>
      </c>
      <c r="D5" s="1">
        <v>5.9999999999999995E-4</v>
      </c>
      <c r="E5" s="1">
        <v>4.1000000000000003E-3</v>
      </c>
      <c r="F5" s="1">
        <v>6.2199999999999998E-2</v>
      </c>
      <c r="G5" s="1">
        <v>0.83430000000000004</v>
      </c>
      <c r="H5" s="1">
        <v>7.9699999999999993E-2</v>
      </c>
      <c r="I5" s="1">
        <v>5.8999999999999999E-3</v>
      </c>
      <c r="J5" s="1">
        <v>8.9999999999999998E-4</v>
      </c>
      <c r="K5" s="1">
        <v>1.2200000000000001E-2</v>
      </c>
    </row>
    <row r="6" spans="3:11" x14ac:dyDescent="0.2">
      <c r="C6" s="1">
        <v>1E-4</v>
      </c>
      <c r="D6" s="1">
        <v>4.0000000000000002E-4</v>
      </c>
      <c r="E6" s="1">
        <v>1.4E-3</v>
      </c>
      <c r="F6" s="1">
        <v>3.8E-3</v>
      </c>
      <c r="G6" s="1">
        <v>5.3199999999999997E-2</v>
      </c>
      <c r="H6" s="1">
        <v>0.82189999999999996</v>
      </c>
      <c r="I6" s="1">
        <v>6.4500000000000002E-2</v>
      </c>
      <c r="J6" s="1">
        <v>7.4000000000000003E-3</v>
      </c>
      <c r="K6" s="1">
        <v>4.7300000000000002E-2</v>
      </c>
    </row>
    <row r="7" spans="3:11" x14ac:dyDescent="0.2">
      <c r="C7" s="1">
        <v>0</v>
      </c>
      <c r="D7" s="1">
        <v>2.0000000000000001E-4</v>
      </c>
      <c r="E7" s="1">
        <v>2.0000000000000001E-4</v>
      </c>
      <c r="F7" s="1">
        <v>1.6000000000000001E-3</v>
      </c>
      <c r="G7" s="1">
        <v>5.3E-3</v>
      </c>
      <c r="H7" s="1">
        <v>9.4100000000000003E-2</v>
      </c>
      <c r="I7" s="1">
        <v>0.68430000000000002</v>
      </c>
      <c r="J7" s="1">
        <v>4.6699999999999998E-2</v>
      </c>
      <c r="K7" s="1">
        <v>0.1676</v>
      </c>
    </row>
    <row r="8" spans="3:11" x14ac:dyDescent="0.2">
      <c r="C8" s="1">
        <v>0</v>
      </c>
      <c r="D8" s="1">
        <v>0</v>
      </c>
      <c r="E8" s="1">
        <v>0</v>
      </c>
      <c r="F8" s="1">
        <v>0</v>
      </c>
      <c r="G8" s="1">
        <v>3.8999999999999998E-3</v>
      </c>
      <c r="H8" s="1">
        <v>2.8500000000000001E-2</v>
      </c>
      <c r="I8" s="1">
        <v>0.1066</v>
      </c>
      <c r="J8" s="1">
        <v>0.43540000000000001</v>
      </c>
      <c r="K8" s="1">
        <v>0.42559999999999998</v>
      </c>
    </row>
    <row r="9" spans="3:11" x14ac:dyDescent="0.2"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1</v>
      </c>
    </row>
    <row r="10" spans="3:11" x14ac:dyDescent="0.2">
      <c r="C10" s="1"/>
      <c r="D10" s="1"/>
      <c r="E10" s="1"/>
      <c r="F10" s="1"/>
      <c r="G10" s="1"/>
      <c r="H10" s="1"/>
      <c r="I10" s="1"/>
      <c r="J10" s="1"/>
      <c r="K10" s="1"/>
    </row>
    <row r="11" spans="3:11" x14ac:dyDescent="0.2">
      <c r="C11" s="1"/>
      <c r="D11" s="1"/>
      <c r="E11" s="1"/>
      <c r="F11" s="1"/>
      <c r="G11" s="1"/>
      <c r="H11" s="1"/>
      <c r="I11" s="1"/>
      <c r="J11" s="1"/>
      <c r="K11" s="1"/>
    </row>
    <row r="12" spans="3:11" x14ac:dyDescent="0.2">
      <c r="C12" s="1"/>
      <c r="D12" s="1"/>
      <c r="E12" s="1"/>
      <c r="F12" s="1"/>
      <c r="G12" s="1"/>
      <c r="H12" s="1"/>
      <c r="I12" s="1"/>
      <c r="J12" s="1"/>
      <c r="K12" s="1"/>
    </row>
    <row r="13" spans="3:11" x14ac:dyDescent="0.2">
      <c r="C13" s="1">
        <f t="array" ref="C13:K21">eigenvalue(C1:K9)</f>
        <v>0.98774605847514851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</row>
    <row r="14" spans="3:11" x14ac:dyDescent="0.2">
      <c r="C14" s="1">
        <v>0</v>
      </c>
      <c r="D14" s="1">
        <v>0.9361086619432375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</row>
    <row r="15" spans="3:11" x14ac:dyDescent="0.2">
      <c r="C15" s="1">
        <v>0</v>
      </c>
      <c r="D15" s="1">
        <v>0</v>
      </c>
      <c r="E15" s="1">
        <v>0.90445998963810992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</row>
    <row r="16" spans="3:11" x14ac:dyDescent="0.2">
      <c r="C16" s="1">
        <v>0</v>
      </c>
      <c r="D16" s="1">
        <v>0</v>
      </c>
      <c r="E16" s="1">
        <v>0</v>
      </c>
      <c r="F16" s="1">
        <v>0.87204244794957386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</row>
    <row r="17" spans="3:11" x14ac:dyDescent="0.2">
      <c r="C17" s="1">
        <v>0</v>
      </c>
      <c r="D17" s="1">
        <v>0</v>
      </c>
      <c r="E17" s="1">
        <v>0</v>
      </c>
      <c r="F17" s="1">
        <v>0</v>
      </c>
      <c r="G17" s="1">
        <v>0.65969004999393377</v>
      </c>
      <c r="H17" s="1">
        <v>0</v>
      </c>
      <c r="I17" s="1">
        <v>0</v>
      </c>
      <c r="J17" s="1">
        <v>0</v>
      </c>
      <c r="K17" s="1">
        <v>0</v>
      </c>
    </row>
    <row r="18" spans="3:11" x14ac:dyDescent="0.2"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0.8329362021677098</v>
      </c>
      <c r="I18" s="1">
        <v>0</v>
      </c>
      <c r="J18" s="1">
        <v>0</v>
      </c>
      <c r="K18" s="1">
        <v>0</v>
      </c>
    </row>
    <row r="19" spans="3:11" x14ac:dyDescent="0.2"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0.41670106723766642</v>
      </c>
      <c r="J19" s="1">
        <v>0</v>
      </c>
      <c r="K19" s="1">
        <v>0</v>
      </c>
    </row>
    <row r="20" spans="3:11" x14ac:dyDescent="0.2"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0.77451552259461953</v>
      </c>
      <c r="K20" s="1">
        <v>0</v>
      </c>
    </row>
    <row r="21" spans="3:11" x14ac:dyDescent="0.2"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1</v>
      </c>
    </row>
    <row r="22" spans="3:11" x14ac:dyDescent="0.2">
      <c r="C22" s="1"/>
      <c r="D22" s="1"/>
      <c r="E22" s="1"/>
      <c r="F22" s="1"/>
      <c r="G22" s="1"/>
      <c r="H22" s="1"/>
      <c r="I22" s="1"/>
      <c r="J22" s="1"/>
      <c r="K22" s="1"/>
    </row>
    <row r="23" spans="3:11" x14ac:dyDescent="0.2">
      <c r="C23" s="1"/>
      <c r="D23" s="1"/>
      <c r="E23" s="1"/>
      <c r="F23" s="1"/>
      <c r="G23" s="1"/>
      <c r="H23" s="1"/>
      <c r="I23" s="1"/>
      <c r="J23" s="1"/>
      <c r="K23" s="1"/>
    </row>
    <row r="24" spans="3:11" x14ac:dyDescent="0.2">
      <c r="C24" s="1"/>
      <c r="D24" s="1"/>
      <c r="E24" s="1"/>
      <c r="F24" s="1"/>
      <c r="G24" s="1"/>
      <c r="H24" s="1"/>
      <c r="I24" s="1"/>
      <c r="J24" s="1"/>
      <c r="K24" s="1"/>
    </row>
    <row r="25" spans="3:11" x14ac:dyDescent="0.2">
      <c r="C25" s="1">
        <f t="array" ref="C25:K33">eigenvector(C1:K9)</f>
        <v>0.5918262462959657</v>
      </c>
      <c r="D25" s="1">
        <v>-0.91034194176666505</v>
      </c>
      <c r="E25" s="1">
        <v>-0.98191998791189428</v>
      </c>
      <c r="F25" s="1">
        <v>-0.91265037477309086</v>
      </c>
      <c r="G25" s="1">
        <v>6.4167229890036285E-5</v>
      </c>
      <c r="H25" s="1">
        <v>-0.66064019235613225</v>
      </c>
      <c r="I25" s="1">
        <v>-7.3395984882131868E-6</v>
      </c>
      <c r="J25" s="1">
        <v>-4.1955533235413067E-2</v>
      </c>
      <c r="K25" s="1">
        <v>0.33333333333333376</v>
      </c>
    </row>
    <row r="26" spans="3:11" x14ac:dyDescent="0.2">
      <c r="C26" s="1">
        <v>0.52196897769095552</v>
      </c>
      <c r="D26" s="1">
        <v>-0.32416408606205493</v>
      </c>
      <c r="E26" s="1">
        <v>-1.0845054881877706E-2</v>
      </c>
      <c r="F26" s="1">
        <v>0.32880293780094505</v>
      </c>
      <c r="G26" s="1">
        <v>-8.6535829624100112E-4</v>
      </c>
      <c r="H26" s="1">
        <v>0.55373582021523737</v>
      </c>
      <c r="I26" s="1">
        <v>5.4207221883075957E-5</v>
      </c>
      <c r="J26" s="1">
        <v>7.1139474506313347E-2</v>
      </c>
      <c r="K26" s="1">
        <v>0.3333333333333337</v>
      </c>
    </row>
    <row r="27" spans="3:11" x14ac:dyDescent="0.2">
      <c r="C27" s="1">
        <v>0.44971301069367836</v>
      </c>
      <c r="D27" s="1">
        <v>-3.1991491217243331E-2</v>
      </c>
      <c r="E27" s="1">
        <v>0.11914303019202176</v>
      </c>
      <c r="F27" s="1">
        <v>3.5851488381769448E-3</v>
      </c>
      <c r="G27" s="1">
        <v>2.5309959098396453E-3</v>
      </c>
      <c r="H27" s="1">
        <v>-0.38177536956323554</v>
      </c>
      <c r="I27" s="1">
        <v>-1.2847437289569729E-4</v>
      </c>
      <c r="J27" s="1">
        <v>-0.11267566297644367</v>
      </c>
      <c r="K27" s="1">
        <v>0.3333333333333337</v>
      </c>
    </row>
    <row r="28" spans="3:11" x14ac:dyDescent="0.2">
      <c r="C28" s="1">
        <v>0.34886173109007368</v>
      </c>
      <c r="D28" s="1">
        <v>0.14116243758486108</v>
      </c>
      <c r="E28" s="1">
        <v>1.7836484915693923E-2</v>
      </c>
      <c r="F28" s="1">
        <v>-0.16813306651807022</v>
      </c>
      <c r="G28" s="1">
        <v>-2.3000061408779301E-2</v>
      </c>
      <c r="H28" s="1">
        <v>0.24403736264917922</v>
      </c>
      <c r="I28" s="1">
        <v>2.3419797740652454E-4</v>
      </c>
      <c r="J28" s="1">
        <v>0.30210323886981549</v>
      </c>
      <c r="K28" s="1">
        <v>0.33333333333333354</v>
      </c>
    </row>
    <row r="29" spans="3:11" x14ac:dyDescent="0.2">
      <c r="C29" s="1">
        <v>0.2067017690899817</v>
      </c>
      <c r="D29" s="1">
        <v>0.17291401980092749</v>
      </c>
      <c r="E29" s="1">
        <v>-9.4601875095818272E-2</v>
      </c>
      <c r="F29" s="1">
        <v>4.6550875391110982E-2</v>
      </c>
      <c r="G29" s="1">
        <v>0.16036088450709632</v>
      </c>
      <c r="H29" s="1">
        <v>9.6991665933389384E-2</v>
      </c>
      <c r="I29" s="1">
        <v>-1.61372149283246E-3</v>
      </c>
      <c r="J29" s="1">
        <v>-0.78760312499187835</v>
      </c>
      <c r="K29" s="1">
        <v>0.33333333333333337</v>
      </c>
    </row>
    <row r="30" spans="3:11" x14ac:dyDescent="0.2">
      <c r="C30" s="1">
        <v>9.4954751070079987E-2</v>
      </c>
      <c r="D30" s="1">
        <v>0.11206926467170775</v>
      </c>
      <c r="E30" s="1">
        <v>-9.8276717391591523E-2</v>
      </c>
      <c r="F30" s="1">
        <v>0.14545291062617119</v>
      </c>
      <c r="G30" s="1">
        <v>-0.39907385482102614</v>
      </c>
      <c r="H30" s="1">
        <v>-0.16703073085482989</v>
      </c>
      <c r="I30" s="1">
        <v>1.014177474529492E-2</v>
      </c>
      <c r="J30" s="1">
        <v>0.33103505292769497</v>
      </c>
      <c r="K30" s="1">
        <v>0.33333333333333304</v>
      </c>
    </row>
    <row r="31" spans="3:11" x14ac:dyDescent="0.2">
      <c r="C31" s="1">
        <v>3.7632442042357439E-2</v>
      </c>
      <c r="D31" s="1">
        <v>4.9521498886864836E-2</v>
      </c>
      <c r="E31" s="1">
        <v>-4.7791815831653331E-2</v>
      </c>
      <c r="F31" s="1">
        <v>8.0492097301163912E-2</v>
      </c>
      <c r="G31" s="1">
        <v>0.83275237937076729</v>
      </c>
      <c r="H31" s="1">
        <v>-0.11235817100700743</v>
      </c>
      <c r="I31" s="1">
        <v>-0.17533771313909663</v>
      </c>
      <c r="J31" s="1">
        <v>0.37502089906596953</v>
      </c>
      <c r="K31" s="1">
        <v>0.33333333333333304</v>
      </c>
    </row>
    <row r="32" spans="3:11" x14ac:dyDescent="0.2">
      <c r="C32" s="1">
        <v>1.3621832746367E-2</v>
      </c>
      <c r="D32" s="1">
        <v>1.8268768241808543E-2</v>
      </c>
      <c r="E32" s="1">
        <v>-1.7619156416569432E-2</v>
      </c>
      <c r="F32" s="1">
        <v>2.9560602730648648E-2</v>
      </c>
      <c r="G32" s="1">
        <v>0.34786744320674284</v>
      </c>
      <c r="H32" s="1">
        <v>-4.1152200157780233E-2</v>
      </c>
      <c r="I32" s="1">
        <v>0.98445474873782879</v>
      </c>
      <c r="J32" s="1">
        <v>0.13664981864247636</v>
      </c>
      <c r="K32" s="1">
        <v>0.33333333333333287</v>
      </c>
    </row>
    <row r="33" spans="3:11" x14ac:dyDescent="0.2">
      <c r="C33" s="1">
        <v>3.0383313777211908E-40</v>
      </c>
      <c r="D33" s="1">
        <v>1.5387513182971922E-42</v>
      </c>
      <c r="E33" s="1">
        <v>8.5207836062898578E-48</v>
      </c>
      <c r="F33" s="1">
        <v>7.5913638632700908E-47</v>
      </c>
      <c r="G33" s="1">
        <v>1.273338489085411E-45</v>
      </c>
      <c r="H33" s="1">
        <v>3.6140773709105912E-43</v>
      </c>
      <c r="I33" s="1">
        <v>4.918932517838183E-47</v>
      </c>
      <c r="J33" s="1">
        <v>5.4354164070773511E-47</v>
      </c>
      <c r="K33" s="1">
        <v>0.33333333333333287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K250"/>
  <sheetViews>
    <sheetView topLeftCell="AX1" zoomScaleNormal="100" workbookViewId="0">
      <selection activeCell="BM18" sqref="BM18"/>
    </sheetView>
  </sheetViews>
  <sheetFormatPr defaultColWidth="9" defaultRowHeight="12.75" x14ac:dyDescent="0.2"/>
  <cols>
    <col min="1" max="1" width="10.42578125" style="3" bestFit="1" customWidth="1"/>
    <col min="2" max="37" width="9" style="3"/>
    <col min="38" max="38" width="9" style="7"/>
    <col min="39" max="51" width="9" style="3"/>
    <col min="52" max="52" width="10.42578125" style="3" bestFit="1" customWidth="1"/>
    <col min="53" max="62" width="9" style="3"/>
    <col min="63" max="63" width="9" style="3" customWidth="1"/>
    <col min="64" max="16384" width="9" style="3"/>
  </cols>
  <sheetData>
    <row r="1" spans="1:63" ht="13.5" thickBot="1" x14ac:dyDescent="0.25">
      <c r="A1" s="3" t="s">
        <v>0</v>
      </c>
      <c r="N1" s="3" t="s">
        <v>1</v>
      </c>
      <c r="Z1" s="3" t="s">
        <v>280</v>
      </c>
      <c r="AL1" s="8" t="s">
        <v>278</v>
      </c>
      <c r="AM1" s="2"/>
      <c r="AN1" s="2"/>
      <c r="AO1" s="2"/>
      <c r="AP1" s="2"/>
      <c r="AQ1" s="2"/>
      <c r="AR1" s="2"/>
      <c r="AS1" s="2"/>
      <c r="AT1" s="2"/>
      <c r="AU1" s="2"/>
      <c r="AV1" s="2"/>
      <c r="BB1" s="2" t="s">
        <v>2</v>
      </c>
      <c r="BC1" s="10" t="s">
        <v>302</v>
      </c>
      <c r="BD1" s="12" t="s">
        <v>260</v>
      </c>
      <c r="BE1" s="14" t="s">
        <v>286</v>
      </c>
      <c r="BF1" s="5" t="s">
        <v>299</v>
      </c>
    </row>
    <row r="2" spans="1:63" ht="13.5" thickBot="1" x14ac:dyDescent="0.25">
      <c r="A2" s="5" t="s">
        <v>3</v>
      </c>
      <c r="B2" s="5" t="s">
        <v>268</v>
      </c>
      <c r="C2" s="5" t="s">
        <v>269</v>
      </c>
      <c r="D2" s="5" t="s">
        <v>270</v>
      </c>
      <c r="E2" s="5" t="s">
        <v>271</v>
      </c>
      <c r="F2" s="5" t="s">
        <v>272</v>
      </c>
      <c r="G2" s="5" t="s">
        <v>273</v>
      </c>
      <c r="H2" s="5" t="s">
        <v>274</v>
      </c>
      <c r="I2" s="5" t="s">
        <v>275</v>
      </c>
      <c r="J2" s="5" t="s">
        <v>276</v>
      </c>
      <c r="K2" s="5" t="s">
        <v>277</v>
      </c>
      <c r="L2" s="5" t="s">
        <v>297</v>
      </c>
      <c r="N2" s="5" t="s">
        <v>268</v>
      </c>
      <c r="O2" s="5" t="s">
        <v>269</v>
      </c>
      <c r="P2" s="5" t="s">
        <v>270</v>
      </c>
      <c r="Q2" s="5" t="s">
        <v>271</v>
      </c>
      <c r="R2" s="5" t="s">
        <v>272</v>
      </c>
      <c r="S2" s="5" t="s">
        <v>273</v>
      </c>
      <c r="T2" s="5" t="s">
        <v>274</v>
      </c>
      <c r="U2" s="5" t="s">
        <v>275</v>
      </c>
      <c r="V2" s="5" t="s">
        <v>276</v>
      </c>
      <c r="W2" s="5" t="s">
        <v>277</v>
      </c>
      <c r="X2" s="5" t="s">
        <v>297</v>
      </c>
      <c r="Z2" s="5"/>
      <c r="AA2" s="5">
        <v>1</v>
      </c>
      <c r="AB2" s="5">
        <v>2</v>
      </c>
      <c r="AC2" s="5">
        <v>3</v>
      </c>
      <c r="AD2" s="5">
        <v>4</v>
      </c>
      <c r="AE2" s="5">
        <v>5</v>
      </c>
      <c r="AF2" s="5">
        <v>6</v>
      </c>
      <c r="AG2" s="5">
        <v>7</v>
      </c>
      <c r="AH2" s="5">
        <v>8</v>
      </c>
      <c r="AI2" s="5">
        <v>9</v>
      </c>
      <c r="AJ2" s="5">
        <v>10</v>
      </c>
      <c r="AL2" s="8"/>
      <c r="AM2" s="2" t="s">
        <v>268</v>
      </c>
      <c r="AN2" s="2" t="s">
        <v>269</v>
      </c>
      <c r="AO2" s="2" t="s">
        <v>270</v>
      </c>
      <c r="AP2" s="2" t="s">
        <v>271</v>
      </c>
      <c r="AQ2" s="2" t="s">
        <v>272</v>
      </c>
      <c r="AR2" s="2" t="s">
        <v>273</v>
      </c>
      <c r="AS2" s="2" t="s">
        <v>274</v>
      </c>
      <c r="AT2" s="2" t="s">
        <v>275</v>
      </c>
      <c r="AU2" s="2" t="s">
        <v>276</v>
      </c>
      <c r="AV2" s="2" t="s">
        <v>277</v>
      </c>
      <c r="BA2" s="3" t="s">
        <v>5</v>
      </c>
      <c r="BB2" s="2">
        <f>BB250/BB5</f>
        <v>0.94621639051755846</v>
      </c>
      <c r="BC2" s="10">
        <f>BC250/BC5</f>
        <v>0.94746430328665265</v>
      </c>
      <c r="BD2" s="12">
        <f>BD250/BD5</f>
        <v>1.0093749737027062</v>
      </c>
      <c r="BE2" s="23">
        <f>BE250/BE5</f>
        <v>1.0885740164706625</v>
      </c>
      <c r="BF2" s="5">
        <f>BF250/BF5</f>
        <v>0.99395400167881764</v>
      </c>
      <c r="BH2" s="3" t="s">
        <v>1</v>
      </c>
    </row>
    <row r="3" spans="1:63" ht="13.5" thickBot="1" x14ac:dyDescent="0.25">
      <c r="A3" s="3" t="s">
        <v>6</v>
      </c>
      <c r="B3" s="3">
        <v>81.8</v>
      </c>
      <c r="C3" s="3">
        <v>86.25</v>
      </c>
      <c r="D3" s="3">
        <v>14.345000000000001</v>
      </c>
      <c r="E3" s="3">
        <v>66.900000000000006</v>
      </c>
      <c r="F3" s="3">
        <v>53</v>
      </c>
      <c r="G3" s="3">
        <v>180.6</v>
      </c>
      <c r="H3" s="3">
        <v>36.545000000000002</v>
      </c>
      <c r="I3" s="3">
        <v>111.5</v>
      </c>
      <c r="J3" s="3">
        <v>10.52</v>
      </c>
      <c r="K3" s="3">
        <v>86.5</v>
      </c>
      <c r="L3" s="3">
        <v>26506.75</v>
      </c>
      <c r="N3" s="3">
        <f t="shared" ref="N3:X3" si="0">LN(B4)-LN(B3)</f>
        <v>6.0938640743222194E-3</v>
      </c>
      <c r="O3" s="3">
        <f t="shared" si="0"/>
        <v>-2.9027596579620507E-3</v>
      </c>
      <c r="P3" s="3">
        <f t="shared" si="0"/>
        <v>8.8833952221394341E-3</v>
      </c>
      <c r="Q3" s="3">
        <f t="shared" si="0"/>
        <v>1.9245597715233487E-2</v>
      </c>
      <c r="R3" s="3">
        <f t="shared" si="0"/>
        <v>-1.8885746878685161E-3</v>
      </c>
      <c r="S3" s="3">
        <f t="shared" si="0"/>
        <v>1.7563568938701479E-2</v>
      </c>
      <c r="T3" s="3">
        <f t="shared" si="0"/>
        <v>1.4829974650824695E-2</v>
      </c>
      <c r="U3" s="3">
        <f t="shared" si="0"/>
        <v>2.3926706321736546E-2</v>
      </c>
      <c r="V3" s="3">
        <f t="shared" si="0"/>
        <v>2.4414358171287454E-2</v>
      </c>
      <c r="W3" s="3">
        <f t="shared" si="0"/>
        <v>-1.1567381278236866E-3</v>
      </c>
      <c r="X3" s="3">
        <f t="shared" si="0"/>
        <v>2.5157009084399107E-2</v>
      </c>
      <c r="Z3" s="5">
        <v>1</v>
      </c>
      <c r="AA3" s="3">
        <f t="shared" ref="AA3:AJ3" si="1">CORREL(INDEX($N$3:$W$247,0,$Z3),INDEX($N$3:$W$247,0,AA$2))</f>
        <v>1</v>
      </c>
      <c r="AB3" s="3">
        <f t="shared" si="1"/>
        <v>0.36215342477931312</v>
      </c>
      <c r="AC3" s="3">
        <f t="shared" si="1"/>
        <v>0.36037989031003642</v>
      </c>
      <c r="AD3" s="3">
        <f t="shared" si="1"/>
        <v>0.50883145665935137</v>
      </c>
      <c r="AE3" s="3">
        <f t="shared" si="1"/>
        <v>0.49089019638846437</v>
      </c>
      <c r="AF3" s="3">
        <f t="shared" si="1"/>
        <v>0.5618931992659707</v>
      </c>
      <c r="AG3" s="3">
        <f t="shared" si="1"/>
        <v>0.57531488761055238</v>
      </c>
      <c r="AH3" s="3">
        <f t="shared" si="1"/>
        <v>0.58837852301468729</v>
      </c>
      <c r="AI3" s="3">
        <f t="shared" si="1"/>
        <v>0.57565813531131604</v>
      </c>
      <c r="AJ3" s="3">
        <f t="shared" si="1"/>
        <v>0.47384604146905684</v>
      </c>
      <c r="AL3" s="7" t="s">
        <v>10</v>
      </c>
      <c r="AM3" s="3" t="s">
        <v>262</v>
      </c>
      <c r="AN3" s="3" t="s">
        <v>262</v>
      </c>
      <c r="AO3" s="3" t="s">
        <v>262</v>
      </c>
      <c r="AP3" s="3" t="s">
        <v>262</v>
      </c>
      <c r="AQ3" s="3" t="s">
        <v>262</v>
      </c>
      <c r="AR3" s="3" t="s">
        <v>262</v>
      </c>
      <c r="AS3" s="3" t="s">
        <v>262</v>
      </c>
      <c r="AT3" s="3" t="s">
        <v>262</v>
      </c>
      <c r="AU3" s="3" t="s">
        <v>262</v>
      </c>
      <c r="AV3" s="3" t="s">
        <v>262</v>
      </c>
      <c r="BA3" s="3" t="s">
        <v>300</v>
      </c>
      <c r="BB3" s="2">
        <f>STDEV(BB5:BB250)/AVERAGE(BB5:BB250)</f>
        <v>6.1566578514284105E-2</v>
      </c>
      <c r="BC3" s="10">
        <f>STDEV(BC5:BC250)/AVERAGE(BC5:BC250)</f>
        <v>5.5854570852446758E-2</v>
      </c>
      <c r="BD3" s="12">
        <f>STDEV(BD5:BD250)/AVERAGE(BD5:BD250)</f>
        <v>3.4643387180154507E-2</v>
      </c>
      <c r="BE3" s="23">
        <f>STDEV(BE5:BE250)/AVERAGE(BE5:BE250)</f>
        <v>3.0517998739808084E-2</v>
      </c>
      <c r="BF3" s="5">
        <f>STDEV(BF5:BF250)/AVERAGE(BF5:BF250)</f>
        <v>4.7320324553046786E-2</v>
      </c>
      <c r="BH3" s="2" t="s">
        <v>2</v>
      </c>
      <c r="BI3" s="10" t="s">
        <v>302</v>
      </c>
      <c r="BJ3" s="12" t="s">
        <v>260</v>
      </c>
      <c r="BK3" s="14" t="s">
        <v>286</v>
      </c>
    </row>
    <row r="4" spans="1:63" ht="13.5" thickBot="1" x14ac:dyDescent="0.25">
      <c r="A4" s="3" t="s">
        <v>9</v>
      </c>
      <c r="B4" s="3">
        <v>82.3</v>
      </c>
      <c r="C4" s="3">
        <v>86</v>
      </c>
      <c r="D4" s="3">
        <v>14.473000000000001</v>
      </c>
      <c r="E4" s="3">
        <v>68.2</v>
      </c>
      <c r="F4" s="3">
        <v>52.9</v>
      </c>
      <c r="G4" s="3">
        <v>183.8</v>
      </c>
      <c r="H4" s="3">
        <v>37.091000000000001</v>
      </c>
      <c r="I4" s="3">
        <v>114.2</v>
      </c>
      <c r="J4" s="3">
        <v>10.78</v>
      </c>
      <c r="K4" s="3">
        <v>86.4</v>
      </c>
      <c r="L4" s="3">
        <v>27182.039063</v>
      </c>
      <c r="N4" s="3">
        <f t="shared" ref="N4:N67" si="2">LN(B5)-LN(B4)</f>
        <v>6.0734894062530742E-4</v>
      </c>
      <c r="O4" s="3">
        <f t="shared" ref="O4:O67" si="3">LN(C5)-LN(C4)</f>
        <v>3.4823018358745017E-3</v>
      </c>
      <c r="P4" s="3">
        <f t="shared" ref="P4:P67" si="4">LN(D5)-LN(D4)</f>
        <v>4.9624472916973694E-3</v>
      </c>
      <c r="Q4" s="3">
        <f t="shared" ref="Q4:Q67" si="5">LN(E5)-LN(E4)</f>
        <v>-1.4673516939494036E-3</v>
      </c>
      <c r="R4" s="3">
        <f t="shared" ref="R4:R67" si="6">LN(F5)-LN(F4)</f>
        <v>-3.787883316936913E-3</v>
      </c>
      <c r="S4" s="3">
        <f t="shared" ref="S4:S67" si="7">LN(G5)-LN(G4)</f>
        <v>1.8329354121905617E-2</v>
      </c>
      <c r="T4" s="3">
        <f t="shared" ref="T4:T67" si="8">LN(H5)-LN(H4)</f>
        <v>-4.9189288370383721E-3</v>
      </c>
      <c r="U4" s="3">
        <f t="shared" ref="U4:U67" si="9">LN(I5)-LN(I4)</f>
        <v>-5.2677909348588514E-3</v>
      </c>
      <c r="V4" s="3">
        <f t="shared" ref="V4:V67" si="10">LN(J5)-LN(J4)</f>
        <v>5.5504305306488533E-3</v>
      </c>
      <c r="W4" s="3">
        <f t="shared" ref="W4:W67" si="11">LN(K5)-LN(K4)</f>
        <v>-1.5748356968139809E-2</v>
      </c>
      <c r="X4" s="3">
        <f t="shared" ref="X4:X67" si="12">LN(L5)-LN(L4)</f>
        <v>2.880120315310819E-3</v>
      </c>
      <c r="Z4" s="5">
        <v>2</v>
      </c>
      <c r="AA4" s="3">
        <f t="shared" ref="AA4:AA12" si="13">CORREL(INDEX($N$3:$W$247,0,$Z4),INDEX($N$3:$W$247,0,AA$2))</f>
        <v>0.36215342477931312</v>
      </c>
      <c r="AB4" s="3">
        <f t="shared" ref="AB4:AJ12" si="14">CORREL(INDEX($N$3:$W$247,0,$Z4),INDEX($N$3:$W$247,0,AB$2))</f>
        <v>0.99999999999999989</v>
      </c>
      <c r="AC4" s="3">
        <f t="shared" si="14"/>
        <v>0.55799775874232571</v>
      </c>
      <c r="AD4" s="3">
        <f t="shared" si="14"/>
        <v>0.34268958945954031</v>
      </c>
      <c r="AE4" s="3">
        <f t="shared" si="14"/>
        <v>0.39570173969407368</v>
      </c>
      <c r="AF4" s="3">
        <f t="shared" si="14"/>
        <v>0.55038853150632394</v>
      </c>
      <c r="AG4" s="3">
        <f t="shared" si="14"/>
        <v>0.48040424940890342</v>
      </c>
      <c r="AH4" s="3">
        <f t="shared" si="14"/>
        <v>0.50071672490810004</v>
      </c>
      <c r="AI4" s="3">
        <f t="shared" si="14"/>
        <v>0.41319972392736293</v>
      </c>
      <c r="AJ4" s="3">
        <f t="shared" si="14"/>
        <v>0.33488252861701051</v>
      </c>
      <c r="AL4" s="7" t="s">
        <v>7</v>
      </c>
      <c r="AM4" s="3">
        <v>81.8</v>
      </c>
      <c r="AN4" s="3">
        <v>86.25</v>
      </c>
      <c r="AO4" s="3">
        <v>14.345000000000001</v>
      </c>
      <c r="AP4" s="3">
        <v>66.900000000000006</v>
      </c>
      <c r="AQ4" s="3">
        <v>53</v>
      </c>
      <c r="AR4" s="3">
        <v>180.6</v>
      </c>
      <c r="AS4" s="3">
        <v>36.545000000000002</v>
      </c>
      <c r="AT4" s="3">
        <v>111.5</v>
      </c>
      <c r="AU4" s="3">
        <v>10.52</v>
      </c>
      <c r="AV4" s="3">
        <v>86.5</v>
      </c>
      <c r="BA4" s="3" t="s">
        <v>282</v>
      </c>
      <c r="BB4" s="2">
        <f>MIN(BB25:BB250)/BB5</f>
        <v>0.91980368684250891</v>
      </c>
      <c r="BC4" s="10">
        <f t="shared" ref="BC4:BF4" si="15">MIN(BC25:BC250)/BC5</f>
        <v>0.92062770405065986</v>
      </c>
      <c r="BD4" s="12">
        <f t="shared" si="15"/>
        <v>0.96984852703561375</v>
      </c>
      <c r="BE4" s="23">
        <f t="shared" si="15"/>
        <v>0.99685484977098704</v>
      </c>
      <c r="BF4" s="5">
        <f t="shared" si="15"/>
        <v>0.94558402576702161</v>
      </c>
      <c r="BG4" s="3" t="s">
        <v>298</v>
      </c>
      <c r="BH4" s="2">
        <f>_xlfn.COVARIANCE.P(BH5:BH249,$X3:$X247)/_xlfn.VAR.P($X3:$X247)</f>
        <v>0.78699501740374311</v>
      </c>
      <c r="BI4" s="10">
        <f>_xlfn.COVARIANCE.P(BI5:BI249,$X3:$X247)/_xlfn.VAR.P($X3:$X247)</f>
        <v>0.72834285849289582</v>
      </c>
      <c r="BJ4" s="12">
        <f>_xlfn.COVARIANCE.P(BJ5:BJ249,$X3:$X247)/_xlfn.VAR.P($X3:$X247)</f>
        <v>0.49474724145085341</v>
      </c>
      <c r="BK4" s="23">
        <f>_xlfn.COVARIANCE.P(BK5:BK249,$X3:$X247)/_xlfn.VAR.P($X3:$X247)</f>
        <v>8.3203239669644755E-2</v>
      </c>
    </row>
    <row r="5" spans="1:63" x14ac:dyDescent="0.2">
      <c r="A5" s="3" t="s">
        <v>11</v>
      </c>
      <c r="B5" s="3">
        <v>82.35</v>
      </c>
      <c r="C5" s="3">
        <v>86.3</v>
      </c>
      <c r="D5" s="3">
        <v>14.545</v>
      </c>
      <c r="E5" s="3">
        <v>68.099999999999994</v>
      </c>
      <c r="F5" s="3">
        <v>52.7</v>
      </c>
      <c r="G5" s="3">
        <v>187.2</v>
      </c>
      <c r="H5" s="3">
        <v>36.908999999999999</v>
      </c>
      <c r="I5" s="3">
        <v>113.6</v>
      </c>
      <c r="J5" s="3">
        <v>10.84</v>
      </c>
      <c r="K5" s="3">
        <v>85.05</v>
      </c>
      <c r="L5" s="3">
        <v>27260.439452999999</v>
      </c>
      <c r="N5" s="3">
        <f t="shared" si="2"/>
        <v>-2.0859652052431343E-2</v>
      </c>
      <c r="O5" s="3">
        <f t="shared" si="3"/>
        <v>2.0075236852833633E-2</v>
      </c>
      <c r="P5" s="3">
        <f t="shared" si="4"/>
        <v>-4.9624472916973694E-3</v>
      </c>
      <c r="Q5" s="3">
        <f t="shared" si="5"/>
        <v>-2.6787315963650471E-2</v>
      </c>
      <c r="R5" s="3">
        <f t="shared" si="6"/>
        <v>-2.8503582243564196E-3</v>
      </c>
      <c r="S5" s="3">
        <f t="shared" si="7"/>
        <v>-2.1599111803461746E-2</v>
      </c>
      <c r="T5" s="3">
        <f t="shared" si="8"/>
        <v>-1.4876149486529933E-2</v>
      </c>
      <c r="U5" s="3">
        <f t="shared" si="9"/>
        <v>-5.2956875747103282E-3</v>
      </c>
      <c r="V5" s="3">
        <f t="shared" si="10"/>
        <v>-1.4870162479451388E-2</v>
      </c>
      <c r="W5" s="3">
        <f t="shared" si="11"/>
        <v>-1.2422519998557036E-2</v>
      </c>
      <c r="X5" s="3">
        <f t="shared" si="12"/>
        <v>-1.6300612183533403E-2</v>
      </c>
      <c r="Z5" s="5">
        <v>3</v>
      </c>
      <c r="AA5" s="3">
        <f t="shared" si="13"/>
        <v>0.36037989031003642</v>
      </c>
      <c r="AB5" s="3">
        <f t="shared" si="14"/>
        <v>0.55799775874232571</v>
      </c>
      <c r="AC5" s="3">
        <f t="shared" si="14"/>
        <v>1.0000000000000002</v>
      </c>
      <c r="AD5" s="3">
        <f t="shared" si="14"/>
        <v>0.40013646680270498</v>
      </c>
      <c r="AE5" s="3">
        <f t="shared" si="14"/>
        <v>0.4267321819353036</v>
      </c>
      <c r="AF5" s="3">
        <f t="shared" si="14"/>
        <v>0.5522376250973855</v>
      </c>
      <c r="AG5" s="3">
        <f t="shared" si="14"/>
        <v>0.56138415103168993</v>
      </c>
      <c r="AH5" s="3">
        <f t="shared" si="14"/>
        <v>0.48323984741241593</v>
      </c>
      <c r="AI5" s="3">
        <f t="shared" si="14"/>
        <v>0.47425315487426095</v>
      </c>
      <c r="AJ5" s="3">
        <f t="shared" si="14"/>
        <v>0.36223918126786819</v>
      </c>
      <c r="AL5" s="7" t="s">
        <v>261</v>
      </c>
      <c r="AM5" s="3">
        <f>AM3/AM4</f>
        <v>1.2224938875305626E-3</v>
      </c>
      <c r="AN5" s="3">
        <f t="shared" ref="AN5:AV5" si="16">AN3/AN4</f>
        <v>1.1594202898550724E-3</v>
      </c>
      <c r="AO5" s="3">
        <f t="shared" si="16"/>
        <v>6.9710700592540958E-3</v>
      </c>
      <c r="AP5" s="3">
        <f t="shared" si="16"/>
        <v>1.4947683109118087E-3</v>
      </c>
      <c r="AQ5" s="3">
        <f t="shared" si="16"/>
        <v>1.8867924528301887E-3</v>
      </c>
      <c r="AR5" s="3">
        <f t="shared" si="16"/>
        <v>5.5370985603543752E-4</v>
      </c>
      <c r="AS5" s="3">
        <f t="shared" si="16"/>
        <v>2.7363524421945549E-3</v>
      </c>
      <c r="AT5" s="3">
        <f t="shared" si="16"/>
        <v>8.9686098654708521E-4</v>
      </c>
      <c r="AU5" s="3">
        <f t="shared" si="16"/>
        <v>9.5057034220532334E-3</v>
      </c>
      <c r="AV5" s="3">
        <f t="shared" si="16"/>
        <v>1.1560693641618498E-3</v>
      </c>
      <c r="AZ5" s="3" t="s">
        <v>6</v>
      </c>
      <c r="BA5" s="3">
        <v>0</v>
      </c>
      <c r="BB5" s="3">
        <f t="shared" ref="BB5:BB68" si="17">SUMPRODUCT(AM$5:AV$5,B3:K3)</f>
        <v>0.99999999999999989</v>
      </c>
      <c r="BC5" s="3">
        <f t="shared" ref="BC5:BC68" si="18">SUMPRODUCT(AM$13:AV$13,B3:K3)</f>
        <v>1</v>
      </c>
      <c r="BD5" s="3">
        <f>SUMPRODUCT(AM$30:AV$30,B3:K3)/SUMPRODUCT(AM$30:AV$30,B$3:K$3)</f>
        <v>1</v>
      </c>
      <c r="BE5" s="3">
        <f>SUMPRODUCT(AM$41:AV$41,B3:K3)/SUMPRODUCT(AM$41:AV$41,B$3:K$3)</f>
        <v>1</v>
      </c>
      <c r="BF5" s="3">
        <f>L3/L$3</f>
        <v>1</v>
      </c>
      <c r="BH5" s="3">
        <f>LN(BB6)-LN(BB5)</f>
        <v>1.0951343521815765E-2</v>
      </c>
      <c r="BI5" s="3">
        <f t="shared" ref="BI5:BK5" si="19">LN(BC6)-LN(BC5)</f>
        <v>9.5663237061905017E-3</v>
      </c>
      <c r="BJ5" s="3">
        <f t="shared" si="19"/>
        <v>1.6273586524227601E-3</v>
      </c>
      <c r="BK5" s="3">
        <f t="shared" si="19"/>
        <v>-1.2605305907785457E-2</v>
      </c>
    </row>
    <row r="6" spans="1:63" x14ac:dyDescent="0.2">
      <c r="A6" s="3" t="s">
        <v>12</v>
      </c>
      <c r="B6" s="3">
        <v>80.650000000000006</v>
      </c>
      <c r="C6" s="3">
        <v>88.05</v>
      </c>
      <c r="D6" s="3">
        <v>14.473000000000001</v>
      </c>
      <c r="E6" s="3">
        <v>66.3</v>
      </c>
      <c r="F6" s="3">
        <v>52.55</v>
      </c>
      <c r="G6" s="3">
        <v>183.2</v>
      </c>
      <c r="H6" s="3">
        <v>36.363999999999997</v>
      </c>
      <c r="I6" s="3">
        <v>113</v>
      </c>
      <c r="J6" s="3">
        <v>10.68</v>
      </c>
      <c r="K6" s="3">
        <v>84</v>
      </c>
      <c r="L6" s="3">
        <v>26819.679688</v>
      </c>
      <c r="N6" s="3">
        <f t="shared" si="2"/>
        <v>-2.2571491162170609E-2</v>
      </c>
      <c r="O6" s="3">
        <f t="shared" si="3"/>
        <v>-2.8433343011444734E-3</v>
      </c>
      <c r="P6" s="3">
        <f t="shared" si="4"/>
        <v>2.4843018780802417E-3</v>
      </c>
      <c r="Q6" s="3">
        <f t="shared" si="5"/>
        <v>-2.0572154075208182E-2</v>
      </c>
      <c r="R6" s="3">
        <f t="shared" si="6"/>
        <v>2.8503582243564196E-3</v>
      </c>
      <c r="S6" s="3">
        <f t="shared" si="7"/>
        <v>-1.7066200058120096E-2</v>
      </c>
      <c r="T6" s="3">
        <f t="shared" si="8"/>
        <v>-5.0175166605419541E-3</v>
      </c>
      <c r="U6" s="3">
        <f t="shared" si="9"/>
        <v>-7.1048256237444818E-3</v>
      </c>
      <c r="V6" s="3">
        <f t="shared" si="10"/>
        <v>-7.5188324140271767E-3</v>
      </c>
      <c r="W6" s="3">
        <f t="shared" si="11"/>
        <v>-1.4388737452099676E-2</v>
      </c>
      <c r="X6" s="3">
        <f t="shared" si="12"/>
        <v>-2.5042764104867388E-2</v>
      </c>
      <c r="Z6" s="5">
        <v>4</v>
      </c>
      <c r="AA6" s="3">
        <f t="shared" si="13"/>
        <v>0.50883145665935137</v>
      </c>
      <c r="AB6" s="3">
        <f t="shared" si="14"/>
        <v>0.34268958945954031</v>
      </c>
      <c r="AC6" s="3">
        <f t="shared" si="14"/>
        <v>0.40013646680270498</v>
      </c>
      <c r="AD6" s="3">
        <f t="shared" si="14"/>
        <v>0.99999999999999989</v>
      </c>
      <c r="AE6" s="3">
        <f t="shared" si="14"/>
        <v>0.39461112097133844</v>
      </c>
      <c r="AF6" s="3">
        <f t="shared" si="14"/>
        <v>0.67584469170832584</v>
      </c>
      <c r="AG6" s="3">
        <f t="shared" si="14"/>
        <v>0.5611750625387677</v>
      </c>
      <c r="AH6" s="3">
        <f t="shared" si="14"/>
        <v>0.53789445546739967</v>
      </c>
      <c r="AI6" s="3">
        <f t="shared" si="14"/>
        <v>0.473474291371833</v>
      </c>
      <c r="AJ6" s="3">
        <f t="shared" si="14"/>
        <v>0.42636606892974049</v>
      </c>
      <c r="AZ6" s="3" t="s">
        <v>9</v>
      </c>
      <c r="BA6" s="3">
        <v>1</v>
      </c>
      <c r="BB6" s="3">
        <f t="shared" si="17"/>
        <v>1.0110115289875348</v>
      </c>
      <c r="BC6" s="3">
        <f t="shared" si="18"/>
        <v>1.0096122272400734</v>
      </c>
      <c r="BD6" s="3">
        <f t="shared" ref="BD6:BD69" si="20">SUMPRODUCT(AM$30:AV$30,B4:K4)/SUMPRODUCT(AM$30:AV$30,B$3:K$3)</f>
        <v>1.0016286835190948</v>
      </c>
      <c r="BE6" s="3">
        <f t="shared" ref="BE6:BE69" si="21">SUMPRODUCT(AM$41:AV$41,B4:K4)/SUMPRODUCT(AM$41:AV$41,B$3:K$3)</f>
        <v>0.98747380819268959</v>
      </c>
      <c r="BF6" s="3">
        <f t="shared" ref="BF6:BF69" si="22">L4/L$3</f>
        <v>1.0254761169513427</v>
      </c>
      <c r="BH6" s="3">
        <f t="shared" ref="BH6:BH69" si="23">LN(BB7)-LN(BB6)</f>
        <v>2.375178864308259E-4</v>
      </c>
      <c r="BI6" s="3">
        <f t="shared" ref="BI6:BI69" si="24">LN(BC7)-LN(BC6)</f>
        <v>3.2683767875641215E-4</v>
      </c>
      <c r="BJ6" s="3">
        <f t="shared" ref="BJ6:BJ69" si="25">LN(BD7)-LN(BD6)</f>
        <v>1.3267172566350785E-3</v>
      </c>
      <c r="BK6" s="3">
        <f t="shared" ref="BK6:BK69" si="26">LN(BE7)-LN(BE6)</f>
        <v>1.8143589370457919E-3</v>
      </c>
    </row>
    <row r="7" spans="1:63" x14ac:dyDescent="0.2">
      <c r="A7" s="3" t="s">
        <v>13</v>
      </c>
      <c r="B7" s="3">
        <v>78.849999999999994</v>
      </c>
      <c r="C7" s="3">
        <v>87.8</v>
      </c>
      <c r="D7" s="3">
        <v>14.509</v>
      </c>
      <c r="E7" s="3">
        <v>64.95</v>
      </c>
      <c r="F7" s="3">
        <v>52.7</v>
      </c>
      <c r="G7" s="3">
        <v>180.1</v>
      </c>
      <c r="H7" s="3">
        <v>36.182000000000002</v>
      </c>
      <c r="I7" s="3">
        <v>112.2</v>
      </c>
      <c r="J7" s="3">
        <v>10.6</v>
      </c>
      <c r="K7" s="3">
        <v>82.8</v>
      </c>
      <c r="L7" s="3">
        <v>26156.380859000001</v>
      </c>
      <c r="N7" s="3">
        <f t="shared" si="2"/>
        <v>-4.4486886206840381E-3</v>
      </c>
      <c r="O7" s="3">
        <f t="shared" si="3"/>
        <v>1.019838867446321E-2</v>
      </c>
      <c r="P7" s="3">
        <f t="shared" si="4"/>
        <v>-1.2413794697607727E-3</v>
      </c>
      <c r="Q7" s="3">
        <f t="shared" si="5"/>
        <v>-1.9433180538491079E-2</v>
      </c>
      <c r="R7" s="3">
        <f t="shared" si="6"/>
        <v>9.4429408002820736E-3</v>
      </c>
      <c r="S7" s="3">
        <f t="shared" si="7"/>
        <v>4.9847790839159245E-3</v>
      </c>
      <c r="T7" s="3">
        <f t="shared" si="8"/>
        <v>1.2429395736264226E-3</v>
      </c>
      <c r="U7" s="3">
        <f t="shared" si="9"/>
        <v>8.8731726804862632E-3</v>
      </c>
      <c r="V7" s="3">
        <f t="shared" si="10"/>
        <v>9.3897403498388599E-3</v>
      </c>
      <c r="W7" s="3">
        <f t="shared" si="11"/>
        <v>-1.0318756201375123E-2</v>
      </c>
      <c r="X7" s="3">
        <f t="shared" si="12"/>
        <v>-3.5473359135735905E-3</v>
      </c>
      <c r="Z7" s="5">
        <v>5</v>
      </c>
      <c r="AA7" s="3">
        <f t="shared" si="13"/>
        <v>0.49089019638846437</v>
      </c>
      <c r="AB7" s="3">
        <f t="shared" si="14"/>
        <v>0.39570173969407368</v>
      </c>
      <c r="AC7" s="3">
        <f t="shared" si="14"/>
        <v>0.4267321819353036</v>
      </c>
      <c r="AD7" s="3">
        <f t="shared" si="14"/>
        <v>0.39461112097133844</v>
      </c>
      <c r="AE7" s="3">
        <f t="shared" si="14"/>
        <v>1</v>
      </c>
      <c r="AF7" s="3">
        <f t="shared" si="14"/>
        <v>0.42098771357952025</v>
      </c>
      <c r="AG7" s="3">
        <f t="shared" si="14"/>
        <v>0.47140145439149944</v>
      </c>
      <c r="AH7" s="3">
        <f t="shared" si="14"/>
        <v>0.49964942112808775</v>
      </c>
      <c r="AI7" s="3">
        <f t="shared" si="14"/>
        <v>0.49887498975902206</v>
      </c>
      <c r="AJ7" s="3">
        <f t="shared" si="14"/>
        <v>0.40407121645362704</v>
      </c>
      <c r="AL7" s="9" t="s">
        <v>301</v>
      </c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Z7" s="3" t="s">
        <v>11</v>
      </c>
      <c r="BA7" s="3">
        <v>2</v>
      </c>
      <c r="BB7" s="3">
        <f t="shared" si="17"/>
        <v>1.0112516908292946</v>
      </c>
      <c r="BC7" s="3">
        <f t="shared" si="18"/>
        <v>1.009942260487581</v>
      </c>
      <c r="BD7" s="3">
        <f t="shared" si="20"/>
        <v>1.00295844349096</v>
      </c>
      <c r="BE7" s="3">
        <f t="shared" si="21"/>
        <v>0.98926706643680817</v>
      </c>
      <c r="BF7" s="3">
        <f t="shared" si="22"/>
        <v>1.0284338688447281</v>
      </c>
      <c r="BH7" s="3">
        <f t="shared" si="23"/>
        <v>-1.0441276540519899E-2</v>
      </c>
      <c r="BI7" s="3">
        <f t="shared" si="24"/>
        <v>-9.7012565286182968E-3</v>
      </c>
      <c r="BJ7" s="3">
        <f t="shared" si="25"/>
        <v>2.4823365199659084E-3</v>
      </c>
      <c r="BK7" s="3">
        <f t="shared" si="26"/>
        <v>1.9501434545932169E-2</v>
      </c>
    </row>
    <row r="8" spans="1:63" x14ac:dyDescent="0.2">
      <c r="A8" s="3" t="s">
        <v>14</v>
      </c>
      <c r="B8" s="3">
        <v>78.5</v>
      </c>
      <c r="C8" s="3">
        <v>88.7</v>
      </c>
      <c r="D8" s="3">
        <v>14.491</v>
      </c>
      <c r="E8" s="3">
        <v>63.7</v>
      </c>
      <c r="F8" s="3">
        <v>53.2</v>
      </c>
      <c r="G8" s="3">
        <v>181</v>
      </c>
      <c r="H8" s="3">
        <v>36.226999999999997</v>
      </c>
      <c r="I8" s="3">
        <v>113.2</v>
      </c>
      <c r="J8" s="3">
        <v>10.7</v>
      </c>
      <c r="K8" s="3">
        <v>81.95</v>
      </c>
      <c r="L8" s="3">
        <v>26063.759765999999</v>
      </c>
      <c r="N8" s="3">
        <f t="shared" si="2"/>
        <v>-3.5000332140037393E-2</v>
      </c>
      <c r="O8" s="3">
        <f t="shared" si="3"/>
        <v>-8.4914181319666326E-3</v>
      </c>
      <c r="P8" s="3">
        <f t="shared" si="4"/>
        <v>-3.8026802832451523E-3</v>
      </c>
      <c r="Q8" s="3">
        <f t="shared" si="5"/>
        <v>7.846214604185775E-4</v>
      </c>
      <c r="R8" s="3">
        <f t="shared" si="6"/>
        <v>-2.8235312876065954E-3</v>
      </c>
      <c r="S8" s="3">
        <f t="shared" si="7"/>
        <v>-2.2347298691997253E-2</v>
      </c>
      <c r="T8" s="3">
        <f t="shared" si="8"/>
        <v>-1.6448334314298485E-2</v>
      </c>
      <c r="U8" s="3">
        <f t="shared" si="9"/>
        <v>-1.7825783952600815E-2</v>
      </c>
      <c r="V8" s="3">
        <f t="shared" si="10"/>
        <v>-2.4599159013367622E-2</v>
      </c>
      <c r="W8" s="3">
        <f t="shared" si="11"/>
        <v>-9.1940580222065194E-3</v>
      </c>
      <c r="X8" s="3">
        <f t="shared" si="12"/>
        <v>-1.201875135695829E-2</v>
      </c>
      <c r="Z8" s="5">
        <v>6</v>
      </c>
      <c r="AA8" s="3">
        <f t="shared" si="13"/>
        <v>0.5618931992659707</v>
      </c>
      <c r="AB8" s="3">
        <f t="shared" si="14"/>
        <v>0.55038853150632394</v>
      </c>
      <c r="AC8" s="3">
        <f t="shared" si="14"/>
        <v>0.5522376250973855</v>
      </c>
      <c r="AD8" s="3">
        <f t="shared" si="14"/>
        <v>0.67584469170832584</v>
      </c>
      <c r="AE8" s="3">
        <f t="shared" si="14"/>
        <v>0.42098771357952025</v>
      </c>
      <c r="AF8" s="3">
        <f t="shared" si="14"/>
        <v>1.0000000000000002</v>
      </c>
      <c r="AG8" s="3">
        <f t="shared" si="14"/>
        <v>0.61617942158267791</v>
      </c>
      <c r="AH8" s="3">
        <f t="shared" si="14"/>
        <v>0.60713383510048557</v>
      </c>
      <c r="AI8" s="3">
        <f t="shared" si="14"/>
        <v>0.58352318392260139</v>
      </c>
      <c r="AJ8" s="3">
        <f t="shared" si="14"/>
        <v>0.50125752894424258</v>
      </c>
      <c r="AL8" s="9"/>
      <c r="AM8" s="10" t="s">
        <v>268</v>
      </c>
      <c r="AN8" s="10" t="s">
        <v>269</v>
      </c>
      <c r="AO8" s="10" t="s">
        <v>270</v>
      </c>
      <c r="AP8" s="10" t="s">
        <v>271</v>
      </c>
      <c r="AQ8" s="10" t="s">
        <v>272</v>
      </c>
      <c r="AR8" s="10" t="s">
        <v>273</v>
      </c>
      <c r="AS8" s="10" t="s">
        <v>274</v>
      </c>
      <c r="AT8" s="10" t="s">
        <v>275</v>
      </c>
      <c r="AU8" s="10" t="s">
        <v>276</v>
      </c>
      <c r="AV8" s="10" t="s">
        <v>277</v>
      </c>
      <c r="AW8" s="10" t="s">
        <v>4</v>
      </c>
      <c r="AZ8" s="3" t="s">
        <v>12</v>
      </c>
      <c r="BA8" s="3">
        <v>3</v>
      </c>
      <c r="BB8" s="3">
        <f t="shared" si="17"/>
        <v>1.0007478643789423</v>
      </c>
      <c r="BC8" s="3">
        <f t="shared" si="18"/>
        <v>1.0001919232712435</v>
      </c>
      <c r="BD8" s="3">
        <f t="shared" si="20"/>
        <v>1.0054512165339884</v>
      </c>
      <c r="BE8" s="3">
        <f t="shared" si="21"/>
        <v>1.0087485342602511</v>
      </c>
      <c r="BF8" s="3">
        <f t="shared" si="22"/>
        <v>1.0118056603695285</v>
      </c>
      <c r="BH8" s="3">
        <f t="shared" si="23"/>
        <v>-9.0884579572893479E-3</v>
      </c>
      <c r="BI8" s="3">
        <f t="shared" si="24"/>
        <v>-8.5754818020862111E-3</v>
      </c>
      <c r="BJ8" s="3">
        <f t="shared" si="25"/>
        <v>4.9751266080495446E-4</v>
      </c>
      <c r="BK8" s="3">
        <f t="shared" si="26"/>
        <v>1.285865647881913E-2</v>
      </c>
    </row>
    <row r="9" spans="1:63" x14ac:dyDescent="0.2">
      <c r="A9" s="3" t="s">
        <v>15</v>
      </c>
      <c r="B9" s="3">
        <v>75.8</v>
      </c>
      <c r="C9" s="3">
        <v>87.95</v>
      </c>
      <c r="D9" s="3">
        <v>14.436</v>
      </c>
      <c r="E9" s="3">
        <v>63.75</v>
      </c>
      <c r="F9" s="3">
        <v>53.05</v>
      </c>
      <c r="G9" s="3">
        <v>177</v>
      </c>
      <c r="H9" s="3">
        <v>35.636000000000003</v>
      </c>
      <c r="I9" s="3">
        <v>111.2</v>
      </c>
      <c r="J9" s="3">
        <v>10.44</v>
      </c>
      <c r="K9" s="3">
        <v>81.2</v>
      </c>
      <c r="L9" s="3">
        <v>25752.380859000001</v>
      </c>
      <c r="N9" s="3">
        <f t="shared" si="2"/>
        <v>1.8948623129529274E-2</v>
      </c>
      <c r="O9" s="3">
        <f t="shared" si="3"/>
        <v>-2.8465718054304645E-3</v>
      </c>
      <c r="P9" s="3">
        <f t="shared" si="4"/>
        <v>0</v>
      </c>
      <c r="Q9" s="3">
        <f t="shared" si="5"/>
        <v>-6.2942772713876494E-3</v>
      </c>
      <c r="R9" s="3">
        <f t="shared" si="6"/>
        <v>-1.8867930125763266E-3</v>
      </c>
      <c r="S9" s="3">
        <f t="shared" si="7"/>
        <v>-3.9626431700039433E-3</v>
      </c>
      <c r="T9" s="3">
        <f t="shared" si="8"/>
        <v>-7.662009314839846E-3</v>
      </c>
      <c r="U9" s="3">
        <f t="shared" si="9"/>
        <v>-9.0334850976674375E-3</v>
      </c>
      <c r="V9" s="3">
        <f t="shared" si="10"/>
        <v>1.9138761822841133E-3</v>
      </c>
      <c r="W9" s="3">
        <f t="shared" si="11"/>
        <v>0</v>
      </c>
      <c r="X9" s="3">
        <f t="shared" si="12"/>
        <v>7.4874019448145646E-4</v>
      </c>
      <c r="Z9" s="5">
        <v>7</v>
      </c>
      <c r="AA9" s="3">
        <f t="shared" si="13"/>
        <v>0.57531488761055238</v>
      </c>
      <c r="AB9" s="3">
        <f t="shared" si="14"/>
        <v>0.48040424940890342</v>
      </c>
      <c r="AC9" s="3">
        <f t="shared" si="14"/>
        <v>0.56138415103168993</v>
      </c>
      <c r="AD9" s="3">
        <f t="shared" si="14"/>
        <v>0.5611750625387677</v>
      </c>
      <c r="AE9" s="3">
        <f t="shared" si="14"/>
        <v>0.47140145439149944</v>
      </c>
      <c r="AF9" s="3">
        <f t="shared" si="14"/>
        <v>0.61617942158267791</v>
      </c>
      <c r="AG9" s="3">
        <f t="shared" si="14"/>
        <v>1.0000000000000002</v>
      </c>
      <c r="AH9" s="3">
        <f t="shared" si="14"/>
        <v>0.7702702938116005</v>
      </c>
      <c r="AI9" s="3">
        <f t="shared" si="14"/>
        <v>0.74366255809175141</v>
      </c>
      <c r="AJ9" s="3">
        <f t="shared" si="14"/>
        <v>0.5186492294041336</v>
      </c>
      <c r="AL9" s="7" t="s">
        <v>8</v>
      </c>
      <c r="AM9" s="3">
        <f t="shared" ref="AM9:AV9" si="27">STDEV(N$4:N$248)</f>
        <v>1.1682651321216556E-2</v>
      </c>
      <c r="AN9" s="3">
        <f t="shared" si="27"/>
        <v>1.0203628716048343E-2</v>
      </c>
      <c r="AO9" s="3">
        <f t="shared" si="27"/>
        <v>1.0086309908882079E-2</v>
      </c>
      <c r="AP9" s="3">
        <f t="shared" si="27"/>
        <v>9.5262326711039267E-3</v>
      </c>
      <c r="AQ9" s="3">
        <f t="shared" si="27"/>
        <v>8.0868427737283751E-3</v>
      </c>
      <c r="AR9" s="3">
        <f t="shared" si="27"/>
        <v>1.270232702610323E-2</v>
      </c>
      <c r="AS9" s="3">
        <f t="shared" si="27"/>
        <v>1.4782123506867669E-2</v>
      </c>
      <c r="AT9" s="3">
        <f t="shared" si="27"/>
        <v>1.5935923503992384E-2</v>
      </c>
      <c r="AU9" s="3">
        <f t="shared" si="27"/>
        <v>1.8046121564512341E-2</v>
      </c>
      <c r="AV9" s="3">
        <f t="shared" si="27"/>
        <v>1.4044169888526999E-2</v>
      </c>
      <c r="AW9" s="6"/>
      <c r="AZ9" s="3" t="s">
        <v>13</v>
      </c>
      <c r="BA9" s="3">
        <v>4</v>
      </c>
      <c r="BB9" s="3">
        <f t="shared" si="17"/>
        <v>0.99169381548106506</v>
      </c>
      <c r="BC9" s="3">
        <f t="shared" si="18"/>
        <v>0.99165146723520259</v>
      </c>
      <c r="BD9" s="3">
        <f t="shared" si="20"/>
        <v>1.0059515656987374</v>
      </c>
      <c r="BE9" s="3">
        <f t="shared" si="21"/>
        <v>1.0218034395270801</v>
      </c>
      <c r="BF9" s="3">
        <f t="shared" si="22"/>
        <v>0.98678188985824367</v>
      </c>
      <c r="BH9" s="3">
        <f t="shared" si="23"/>
        <v>1.0595530591855761E-3</v>
      </c>
      <c r="BI9" s="3">
        <f t="shared" si="24"/>
        <v>7.1716127080736786E-4</v>
      </c>
      <c r="BJ9" s="3">
        <f t="shared" si="25"/>
        <v>8.516509949284547E-3</v>
      </c>
      <c r="BK9" s="3">
        <f t="shared" si="26"/>
        <v>1.7585243581277284E-2</v>
      </c>
    </row>
    <row r="10" spans="1:63" x14ac:dyDescent="0.2">
      <c r="A10" s="3" t="s">
        <v>16</v>
      </c>
      <c r="B10" s="3">
        <v>77.25</v>
      </c>
      <c r="C10" s="3">
        <v>87.7</v>
      </c>
      <c r="D10" s="3">
        <v>14.436</v>
      </c>
      <c r="E10" s="3">
        <v>63.35</v>
      </c>
      <c r="F10" s="3">
        <v>52.95</v>
      </c>
      <c r="G10" s="3">
        <v>176.3</v>
      </c>
      <c r="H10" s="3">
        <v>35.363999999999997</v>
      </c>
      <c r="I10" s="3">
        <v>110.2</v>
      </c>
      <c r="J10" s="3">
        <v>10.46</v>
      </c>
      <c r="K10" s="3">
        <v>81.2</v>
      </c>
      <c r="L10" s="3">
        <v>25771.669922000001</v>
      </c>
      <c r="N10" s="3">
        <f t="shared" si="2"/>
        <v>2.0500397631192158E-2</v>
      </c>
      <c r="O10" s="3">
        <f t="shared" si="3"/>
        <v>-3.9988627980713787E-3</v>
      </c>
      <c r="P10" s="3">
        <f t="shared" si="4"/>
        <v>0</v>
      </c>
      <c r="Q10" s="3">
        <f t="shared" si="5"/>
        <v>1.0208176592523266E-2</v>
      </c>
      <c r="R10" s="3">
        <f t="shared" si="6"/>
        <v>1.8709619656728016E-2</v>
      </c>
      <c r="S10" s="3">
        <f t="shared" si="7"/>
        <v>5.656123676337721E-3</v>
      </c>
      <c r="T10" s="3">
        <f t="shared" si="8"/>
        <v>1.9073804312984333E-2</v>
      </c>
      <c r="U10" s="3">
        <f t="shared" si="9"/>
        <v>1.798609636978199E-2</v>
      </c>
      <c r="V10" s="3">
        <f t="shared" si="10"/>
        <v>1.8939960100921471E-2</v>
      </c>
      <c r="W10" s="3">
        <f t="shared" si="11"/>
        <v>1.2848142477849045E-2</v>
      </c>
      <c r="X10" s="3">
        <f t="shared" si="12"/>
        <v>1.5976242408873631E-2</v>
      </c>
      <c r="Z10" s="5">
        <v>8</v>
      </c>
      <c r="AA10" s="3">
        <f t="shared" si="13"/>
        <v>0.58837852301468729</v>
      </c>
      <c r="AB10" s="3">
        <f t="shared" si="14"/>
        <v>0.50071672490810004</v>
      </c>
      <c r="AC10" s="3">
        <f t="shared" si="14"/>
        <v>0.48323984741241593</v>
      </c>
      <c r="AD10" s="3">
        <f t="shared" si="14"/>
        <v>0.53789445546739967</v>
      </c>
      <c r="AE10" s="3">
        <f t="shared" si="14"/>
        <v>0.49964942112808775</v>
      </c>
      <c r="AF10" s="3">
        <f t="shared" si="14"/>
        <v>0.60713383510048557</v>
      </c>
      <c r="AG10" s="3">
        <f t="shared" si="14"/>
        <v>0.7702702938116005</v>
      </c>
      <c r="AH10" s="3">
        <f t="shared" si="14"/>
        <v>0.99999999999999978</v>
      </c>
      <c r="AI10" s="3">
        <f t="shared" si="14"/>
        <v>0.79051711696250881</v>
      </c>
      <c r="AJ10" s="3">
        <f t="shared" si="14"/>
        <v>0.59424895927800225</v>
      </c>
      <c r="AL10" s="7" t="s">
        <v>258</v>
      </c>
      <c r="AM10" s="3">
        <f>1/AM9</f>
        <v>85.597008119546146</v>
      </c>
      <c r="AN10" s="3">
        <f t="shared" ref="AN10:AV10" si="28">1/AN9</f>
        <v>98.00435000415024</v>
      </c>
      <c r="AO10" s="3">
        <f t="shared" si="28"/>
        <v>99.144286566030715</v>
      </c>
      <c r="AP10" s="3">
        <f t="shared" si="28"/>
        <v>104.97329159651075</v>
      </c>
      <c r="AQ10" s="3">
        <f t="shared" si="28"/>
        <v>123.65765329934291</v>
      </c>
      <c r="AR10" s="3">
        <f t="shared" si="28"/>
        <v>78.725732532708705</v>
      </c>
      <c r="AS10" s="3">
        <f t="shared" si="28"/>
        <v>67.649279180721706</v>
      </c>
      <c r="AT10" s="3">
        <f t="shared" si="28"/>
        <v>62.751305234960043</v>
      </c>
      <c r="AU10" s="3">
        <f t="shared" si="28"/>
        <v>55.413568861605022</v>
      </c>
      <c r="AV10" s="3">
        <f t="shared" si="28"/>
        <v>71.203923616512412</v>
      </c>
      <c r="AW10" s="3">
        <f>SUM(AM10:AV10)</f>
        <v>847.12039901208846</v>
      </c>
      <c r="AZ10" s="3" t="s">
        <v>14</v>
      </c>
      <c r="BA10" s="3">
        <v>5</v>
      </c>
      <c r="BB10" s="3">
        <f t="shared" si="17"/>
        <v>0.99274512455755293</v>
      </c>
      <c r="BC10" s="3">
        <f t="shared" si="18"/>
        <v>0.99236289633585006</v>
      </c>
      <c r="BD10" s="3">
        <f t="shared" si="20"/>
        <v>1.0145553473090496</v>
      </c>
      <c r="BE10" s="3">
        <f t="shared" si="21"/>
        <v>1.039931023748756</v>
      </c>
      <c r="BF10" s="3">
        <f t="shared" si="22"/>
        <v>0.98328764431701354</v>
      </c>
      <c r="BH10" s="3">
        <f t="shared" si="23"/>
        <v>-1.392305620349758E-2</v>
      </c>
      <c r="BI10" s="3">
        <f t="shared" si="24"/>
        <v>-1.2303217265586489E-2</v>
      </c>
      <c r="BJ10" s="3">
        <f t="shared" si="25"/>
        <v>-8.9108059363749957E-3</v>
      </c>
      <c r="BK10" s="3">
        <f t="shared" si="26"/>
        <v>-2.0958930447317267E-3</v>
      </c>
    </row>
    <row r="11" spans="1:63" x14ac:dyDescent="0.2">
      <c r="A11" s="3" t="s">
        <v>17</v>
      </c>
      <c r="B11" s="3">
        <v>78.849999999999994</v>
      </c>
      <c r="C11" s="3">
        <v>87.35</v>
      </c>
      <c r="D11" s="3">
        <v>14.436</v>
      </c>
      <c r="E11" s="3">
        <v>64</v>
      </c>
      <c r="F11" s="3">
        <v>53.95</v>
      </c>
      <c r="G11" s="3">
        <v>177.3</v>
      </c>
      <c r="H11" s="3">
        <v>36.045000000000002</v>
      </c>
      <c r="I11" s="3">
        <v>112.2</v>
      </c>
      <c r="J11" s="3">
        <v>10.66</v>
      </c>
      <c r="K11" s="3">
        <v>82.25</v>
      </c>
      <c r="L11" s="3">
        <v>26186.710938</v>
      </c>
      <c r="N11" s="3">
        <f t="shared" si="2"/>
        <v>6.3391444278160236E-4</v>
      </c>
      <c r="O11" s="3">
        <f t="shared" si="3"/>
        <v>3.4285747871773964E-3</v>
      </c>
      <c r="P11" s="3">
        <f t="shared" si="4"/>
        <v>5.044059753005925E-3</v>
      </c>
      <c r="Q11" s="3">
        <f t="shared" si="5"/>
        <v>1.8576385572935727E-2</v>
      </c>
      <c r="R11" s="3">
        <f t="shared" si="6"/>
        <v>4.6232167414568259E-3</v>
      </c>
      <c r="S11" s="3">
        <f t="shared" si="7"/>
        <v>1.1774736544532871E-2</v>
      </c>
      <c r="T11" s="3">
        <f t="shared" si="8"/>
        <v>1.0047838971482648E-2</v>
      </c>
      <c r="U11" s="3">
        <f t="shared" si="9"/>
        <v>2.4649135274653844E-2</v>
      </c>
      <c r="V11" s="3">
        <f t="shared" si="10"/>
        <v>2.0427822690098463E-2</v>
      </c>
      <c r="W11" s="3">
        <f t="shared" si="11"/>
        <v>3.0349036951538011E-3</v>
      </c>
      <c r="X11" s="3">
        <f t="shared" si="12"/>
        <v>1.2811098292251799E-2</v>
      </c>
      <c r="Z11" s="5">
        <v>9</v>
      </c>
      <c r="AA11" s="3">
        <f t="shared" si="13"/>
        <v>0.57565813531131604</v>
      </c>
      <c r="AB11" s="3">
        <f t="shared" si="14"/>
        <v>0.41319972392736293</v>
      </c>
      <c r="AC11" s="3">
        <f t="shared" si="14"/>
        <v>0.47425315487426095</v>
      </c>
      <c r="AD11" s="3">
        <f t="shared" si="14"/>
        <v>0.473474291371833</v>
      </c>
      <c r="AE11" s="3">
        <f t="shared" si="14"/>
        <v>0.49887498975902206</v>
      </c>
      <c r="AF11" s="3">
        <f t="shared" si="14"/>
        <v>0.58352318392260139</v>
      </c>
      <c r="AG11" s="3">
        <f t="shared" si="14"/>
        <v>0.74366255809175141</v>
      </c>
      <c r="AH11" s="3">
        <f t="shared" si="14"/>
        <v>0.79051711696250881</v>
      </c>
      <c r="AI11" s="3">
        <f t="shared" si="14"/>
        <v>0.99999999999999978</v>
      </c>
      <c r="AJ11" s="3">
        <f t="shared" si="14"/>
        <v>0.55200922787806661</v>
      </c>
      <c r="AL11" s="7" t="s">
        <v>10</v>
      </c>
      <c r="AM11" s="3">
        <f>AM10/$AW10</f>
        <v>0.10104467820556481</v>
      </c>
      <c r="AN11" s="3">
        <f t="shared" ref="AN11:AV11" si="29">AN10/$AW10</f>
        <v>0.11569116989561683</v>
      </c>
      <c r="AO11" s="3">
        <f t="shared" si="29"/>
        <v>0.11703683051624392</v>
      </c>
      <c r="AP11" s="3">
        <f t="shared" si="29"/>
        <v>0.12391779458850308</v>
      </c>
      <c r="AQ11" s="3">
        <f t="shared" si="29"/>
        <v>0.14597411825231976</v>
      </c>
      <c r="AR11" s="3">
        <f t="shared" si="29"/>
        <v>9.2933345277151427E-2</v>
      </c>
      <c r="AS11" s="3">
        <f t="shared" si="29"/>
        <v>7.9857927231612266E-2</v>
      </c>
      <c r="AT11" s="3">
        <f t="shared" si="29"/>
        <v>7.4076017184972281E-2</v>
      </c>
      <c r="AU11" s="3">
        <f t="shared" si="29"/>
        <v>6.5414041411620244E-2</v>
      </c>
      <c r="AV11" s="3">
        <f t="shared" si="29"/>
        <v>8.4054077436395591E-2</v>
      </c>
      <c r="AW11" s="3">
        <f>SUM(AM11:AV11)</f>
        <v>1</v>
      </c>
      <c r="AZ11" s="3" t="s">
        <v>15</v>
      </c>
      <c r="BA11" s="3">
        <v>6</v>
      </c>
      <c r="BB11" s="3">
        <f t="shared" si="17"/>
        <v>0.97901885593476323</v>
      </c>
      <c r="BC11" s="3">
        <f t="shared" si="18"/>
        <v>0.98022843951010719</v>
      </c>
      <c r="BD11" s="3">
        <f t="shared" si="20"/>
        <v>1.0055550012202041</v>
      </c>
      <c r="BE11" s="3">
        <f t="shared" si="21"/>
        <v>1.0377537220418638</v>
      </c>
      <c r="BF11" s="3">
        <f t="shared" si="22"/>
        <v>0.97154048908296942</v>
      </c>
      <c r="BH11" s="3">
        <f t="shared" si="23"/>
        <v>-1.1676223485776946E-3</v>
      </c>
      <c r="BI11" s="3">
        <f t="shared" si="24"/>
        <v>-1.0769779208498961E-3</v>
      </c>
      <c r="BJ11" s="3">
        <f t="shared" si="25"/>
        <v>3.2401852863971764E-6</v>
      </c>
      <c r="BK11" s="3">
        <f t="shared" si="26"/>
        <v>2.4372143416998698E-3</v>
      </c>
    </row>
    <row r="12" spans="1:63" x14ac:dyDescent="0.2">
      <c r="A12" s="3" t="s">
        <v>18</v>
      </c>
      <c r="B12" s="3">
        <v>78.900000000000006</v>
      </c>
      <c r="C12" s="3">
        <v>87.65</v>
      </c>
      <c r="D12" s="3">
        <v>14.509</v>
      </c>
      <c r="E12" s="3">
        <v>65.2</v>
      </c>
      <c r="F12" s="3">
        <v>54.2</v>
      </c>
      <c r="G12" s="3">
        <v>179.4</v>
      </c>
      <c r="H12" s="3">
        <v>36.408999999999999</v>
      </c>
      <c r="I12" s="3">
        <v>115</v>
      </c>
      <c r="J12" s="3">
        <v>10.88</v>
      </c>
      <c r="K12" s="3">
        <v>82.5</v>
      </c>
      <c r="L12" s="3">
        <v>26524.349609000001</v>
      </c>
      <c r="N12" s="3">
        <f t="shared" si="2"/>
        <v>3.7950709685512507E-3</v>
      </c>
      <c r="O12" s="3">
        <f t="shared" si="3"/>
        <v>5.1209215748908576E-3</v>
      </c>
      <c r="P12" s="3">
        <f t="shared" si="4"/>
        <v>6.2523821807429769E-3</v>
      </c>
      <c r="Q12" s="3">
        <f t="shared" si="5"/>
        <v>-1.7015105005983244E-2</v>
      </c>
      <c r="R12" s="3">
        <f t="shared" si="6"/>
        <v>1.8433184942892034E-3</v>
      </c>
      <c r="S12" s="3">
        <f t="shared" si="7"/>
        <v>-6.7114345879861759E-3</v>
      </c>
      <c r="T12" s="3">
        <f t="shared" si="8"/>
        <v>-5.0112996553286493E-3</v>
      </c>
      <c r="U12" s="3">
        <f t="shared" si="9"/>
        <v>-1.3129291441792645E-2</v>
      </c>
      <c r="V12" s="3">
        <f t="shared" si="10"/>
        <v>-1.1090686694158247E-2</v>
      </c>
      <c r="W12" s="3">
        <f t="shared" si="11"/>
        <v>1.2646961700768067E-2</v>
      </c>
      <c r="X12" s="3">
        <f t="shared" si="12"/>
        <v>-1.6327522638068359E-2</v>
      </c>
      <c r="Z12" s="5">
        <v>10</v>
      </c>
      <c r="AA12" s="3">
        <f t="shared" si="13"/>
        <v>0.47384604146905684</v>
      </c>
      <c r="AB12" s="3">
        <f t="shared" si="14"/>
        <v>0.33488252861701051</v>
      </c>
      <c r="AC12" s="3">
        <f t="shared" si="14"/>
        <v>0.36223918126786819</v>
      </c>
      <c r="AD12" s="3">
        <f t="shared" si="14"/>
        <v>0.42636606892974049</v>
      </c>
      <c r="AE12" s="3">
        <f t="shared" si="14"/>
        <v>0.40407121645362704</v>
      </c>
      <c r="AF12" s="3">
        <f t="shared" si="14"/>
        <v>0.50125752894424258</v>
      </c>
      <c r="AG12" s="3">
        <f t="shared" si="14"/>
        <v>0.5186492294041336</v>
      </c>
      <c r="AH12" s="3">
        <f t="shared" si="14"/>
        <v>0.59424895927800225</v>
      </c>
      <c r="AI12" s="3">
        <f t="shared" si="14"/>
        <v>0.55200922787806661</v>
      </c>
      <c r="AJ12" s="3">
        <f t="shared" si="14"/>
        <v>0.99999999999999989</v>
      </c>
      <c r="AL12" s="7" t="s">
        <v>7</v>
      </c>
      <c r="AM12" s="3">
        <v>81.8</v>
      </c>
      <c r="AN12" s="3">
        <v>86.25</v>
      </c>
      <c r="AO12" s="3">
        <v>14.345000000000001</v>
      </c>
      <c r="AP12" s="3">
        <v>66.900000000000006</v>
      </c>
      <c r="AQ12" s="3">
        <v>53</v>
      </c>
      <c r="AR12" s="3">
        <v>180.6</v>
      </c>
      <c r="AS12" s="3">
        <v>36.545000000000002</v>
      </c>
      <c r="AT12" s="3">
        <v>111.5</v>
      </c>
      <c r="AU12" s="3">
        <v>10.52</v>
      </c>
      <c r="AV12" s="3">
        <v>86.5</v>
      </c>
      <c r="AW12" s="6"/>
      <c r="AZ12" s="3" t="s">
        <v>16</v>
      </c>
      <c r="BA12" s="3">
        <v>7</v>
      </c>
      <c r="BB12" s="3">
        <f t="shared" si="17"/>
        <v>0.97787639874796328</v>
      </c>
      <c r="BC12" s="3">
        <f t="shared" si="18"/>
        <v>0.97917332339373042</v>
      </c>
      <c r="BD12" s="3">
        <f t="shared" si="20"/>
        <v>1.0055582594100023</v>
      </c>
      <c r="BE12" s="3">
        <f t="shared" si="21"/>
        <v>1.0402860349375325</v>
      </c>
      <c r="BF12" s="3">
        <f t="shared" si="22"/>
        <v>0.97226819289426281</v>
      </c>
      <c r="BH12" s="3">
        <f t="shared" si="23"/>
        <v>1.1928540093170814E-2</v>
      </c>
      <c r="BI12" s="3">
        <f t="shared" si="24"/>
        <v>1.1232437020713054E-2</v>
      </c>
      <c r="BJ12" s="3">
        <f t="shared" si="25"/>
        <v>9.029864389374611E-3</v>
      </c>
      <c r="BK12" s="3">
        <f t="shared" si="26"/>
        <v>6.3676750604607646E-3</v>
      </c>
    </row>
    <row r="13" spans="1:63" x14ac:dyDescent="0.2">
      <c r="A13" s="3" t="s">
        <v>19</v>
      </c>
      <c r="B13" s="3">
        <v>79.2</v>
      </c>
      <c r="C13" s="3">
        <v>88.1</v>
      </c>
      <c r="D13" s="3">
        <v>14.6</v>
      </c>
      <c r="E13" s="3">
        <v>64.099999999999994</v>
      </c>
      <c r="F13" s="3">
        <v>54.3</v>
      </c>
      <c r="G13" s="3">
        <v>178.2</v>
      </c>
      <c r="H13" s="3">
        <v>36.226999999999997</v>
      </c>
      <c r="I13" s="3">
        <v>113.5</v>
      </c>
      <c r="J13" s="3">
        <v>10.76</v>
      </c>
      <c r="K13" s="3">
        <v>83.55</v>
      </c>
      <c r="L13" s="3">
        <v>26094.789063</v>
      </c>
      <c r="N13" s="3">
        <f t="shared" si="2"/>
        <v>5.6657375356774509E-3</v>
      </c>
      <c r="O13" s="3">
        <f t="shared" si="3"/>
        <v>1.6324595564586986E-2</v>
      </c>
      <c r="P13" s="3">
        <f t="shared" si="4"/>
        <v>6.2135326739993779E-3</v>
      </c>
      <c r="Q13" s="3">
        <f t="shared" si="5"/>
        <v>2.3373598487053115E-3</v>
      </c>
      <c r="R13" s="3">
        <f t="shared" si="6"/>
        <v>1.098912157559484E-2</v>
      </c>
      <c r="S13" s="3">
        <f t="shared" si="7"/>
        <v>-2.2471919569051479E-3</v>
      </c>
      <c r="T13" s="3">
        <f t="shared" si="8"/>
        <v>-3.7611703953608355E-3</v>
      </c>
      <c r="U13" s="3">
        <f t="shared" si="9"/>
        <v>3.5180335316793432E-3</v>
      </c>
      <c r="V13" s="3">
        <f t="shared" si="10"/>
        <v>5.5607186846970968E-3</v>
      </c>
      <c r="W13" s="3">
        <f t="shared" si="11"/>
        <v>1.0122146560508583E-2</v>
      </c>
      <c r="X13" s="3">
        <f t="shared" si="12"/>
        <v>-2.60951808410681E-4</v>
      </c>
      <c r="AL13" s="7" t="s">
        <v>261</v>
      </c>
      <c r="AM13" s="3">
        <f>AM11/AM12</f>
        <v>1.2352650147379562E-3</v>
      </c>
      <c r="AN13" s="3">
        <f t="shared" ref="AN13:AV13" si="30">AN11/AN12</f>
        <v>1.3413468973404849E-3</v>
      </c>
      <c r="AO13" s="3">
        <f t="shared" si="30"/>
        <v>8.1587194504178402E-3</v>
      </c>
      <c r="AP13" s="3">
        <f t="shared" si="30"/>
        <v>1.852283925089732E-3</v>
      </c>
      <c r="AQ13" s="3">
        <f t="shared" si="30"/>
        <v>2.7542286462701841E-3</v>
      </c>
      <c r="AR13" s="3">
        <f t="shared" si="30"/>
        <v>5.1458109234303118E-4</v>
      </c>
      <c r="AS13" s="3">
        <f t="shared" si="30"/>
        <v>2.1851943420881726E-3</v>
      </c>
      <c r="AT13" s="3">
        <f t="shared" si="30"/>
        <v>6.6435889851993075E-4</v>
      </c>
      <c r="AU13" s="3">
        <f t="shared" si="30"/>
        <v>6.2180647729677043E-3</v>
      </c>
      <c r="AV13" s="3">
        <f t="shared" si="30"/>
        <v>9.7172343857104728E-4</v>
      </c>
      <c r="AW13" s="6"/>
      <c r="AZ13" s="3" t="s">
        <v>17</v>
      </c>
      <c r="BA13" s="3">
        <v>8</v>
      </c>
      <c r="BB13" s="3">
        <f t="shared" si="17"/>
        <v>0.9896108850805303</v>
      </c>
      <c r="BC13" s="3">
        <f t="shared" si="18"/>
        <v>0.99023382800225868</v>
      </c>
      <c r="BD13" s="3">
        <f t="shared" si="20"/>
        <v>1.0146794336341309</v>
      </c>
      <c r="BE13" s="3">
        <f t="shared" si="21"/>
        <v>1.0469313736024035</v>
      </c>
      <c r="BF13" s="3">
        <f t="shared" si="22"/>
        <v>0.98792612968394844</v>
      </c>
      <c r="BH13" s="3">
        <f t="shared" si="23"/>
        <v>1.0287896295458909E-2</v>
      </c>
      <c r="BI13" s="3">
        <f t="shared" si="24"/>
        <v>9.3660942417476654E-3</v>
      </c>
      <c r="BJ13" s="3">
        <f t="shared" si="25"/>
        <v>4.3439139886316779E-3</v>
      </c>
      <c r="BK13" s="3">
        <f t="shared" si="26"/>
        <v>-4.1905316963775432E-3</v>
      </c>
    </row>
    <row r="14" spans="1:63" x14ac:dyDescent="0.2">
      <c r="A14" s="3" t="s">
        <v>20</v>
      </c>
      <c r="B14" s="3">
        <v>79.650000000000006</v>
      </c>
      <c r="C14" s="3">
        <v>89.55</v>
      </c>
      <c r="D14" s="3">
        <v>14.691000000000001</v>
      </c>
      <c r="E14" s="3">
        <v>64.25</v>
      </c>
      <c r="F14" s="3">
        <v>54.9</v>
      </c>
      <c r="G14" s="3">
        <v>177.8</v>
      </c>
      <c r="H14" s="3">
        <v>36.091000000000001</v>
      </c>
      <c r="I14" s="3">
        <v>113.9</v>
      </c>
      <c r="J14" s="3">
        <v>10.82</v>
      </c>
      <c r="K14" s="3">
        <v>84.4</v>
      </c>
      <c r="L14" s="3">
        <v>26087.980468999998</v>
      </c>
      <c r="N14" s="3">
        <f t="shared" si="2"/>
        <v>-1.9011979488571917E-2</v>
      </c>
      <c r="O14" s="3">
        <f t="shared" si="3"/>
        <v>-4.4767841975712486E-3</v>
      </c>
      <c r="P14" s="3">
        <f t="shared" si="4"/>
        <v>-6.2135326739993779E-3</v>
      </c>
      <c r="Q14" s="3">
        <f t="shared" si="5"/>
        <v>-7.0285334245854258E-3</v>
      </c>
      <c r="R14" s="3">
        <f t="shared" si="6"/>
        <v>-8.2304991365149682E-3</v>
      </c>
      <c r="S14" s="3">
        <f t="shared" si="7"/>
        <v>-4.509590505975325E-3</v>
      </c>
      <c r="T14" s="3">
        <f t="shared" si="8"/>
        <v>6.2699593602699721E-3</v>
      </c>
      <c r="U14" s="3">
        <f t="shared" si="9"/>
        <v>-6.1647046840542785E-3</v>
      </c>
      <c r="V14" s="3">
        <f t="shared" si="10"/>
        <v>0</v>
      </c>
      <c r="W14" s="3">
        <f t="shared" si="11"/>
        <v>-2.9664809650968849E-3</v>
      </c>
      <c r="X14" s="3">
        <f t="shared" si="12"/>
        <v>-1.054802479501582E-2</v>
      </c>
      <c r="Z14" s="3" t="s">
        <v>21</v>
      </c>
      <c r="AZ14" s="3" t="s">
        <v>18</v>
      </c>
      <c r="BA14" s="3">
        <v>9</v>
      </c>
      <c r="BB14" s="3">
        <f t="shared" si="17"/>
        <v>0.99984444990534793</v>
      </c>
      <c r="BC14" s="3">
        <f t="shared" si="18"/>
        <v>0.99955202077374539</v>
      </c>
      <c r="BD14" s="3">
        <f t="shared" si="20"/>
        <v>1.0190967009885981</v>
      </c>
      <c r="BE14" s="3">
        <f t="shared" si="21"/>
        <v>1.0425533540190093</v>
      </c>
      <c r="BF14" s="3">
        <f t="shared" si="22"/>
        <v>1.0006639670649928</v>
      </c>
      <c r="BH14" s="3">
        <f t="shared" si="23"/>
        <v>-2.3704578593036541E-3</v>
      </c>
      <c r="BI14" s="3">
        <f t="shared" si="24"/>
        <v>-1.7854516681375023E-3</v>
      </c>
      <c r="BJ14" s="3">
        <f t="shared" si="25"/>
        <v>3.9037049408388209E-3</v>
      </c>
      <c r="BK14" s="3">
        <f t="shared" si="26"/>
        <v>1.2668490940941593E-2</v>
      </c>
    </row>
    <row r="15" spans="1:63" x14ac:dyDescent="0.2">
      <c r="A15" s="3" t="s">
        <v>22</v>
      </c>
      <c r="B15" s="3">
        <v>78.150000000000006</v>
      </c>
      <c r="C15" s="3">
        <v>89.15</v>
      </c>
      <c r="D15" s="3">
        <v>14.6</v>
      </c>
      <c r="E15" s="3">
        <v>63.8</v>
      </c>
      <c r="F15" s="3">
        <v>54.45</v>
      </c>
      <c r="G15" s="3">
        <v>177</v>
      </c>
      <c r="H15" s="3">
        <v>36.317999999999998</v>
      </c>
      <c r="I15" s="3">
        <v>113.2</v>
      </c>
      <c r="J15" s="3">
        <v>10.82</v>
      </c>
      <c r="K15" s="3">
        <v>84.15</v>
      </c>
      <c r="L15" s="3">
        <v>25814.25</v>
      </c>
      <c r="N15" s="3">
        <f t="shared" si="2"/>
        <v>5.1053078341443126E-3</v>
      </c>
      <c r="O15" s="3">
        <f t="shared" si="3"/>
        <v>-9.580236699235023E-3</v>
      </c>
      <c r="P15" s="3">
        <f t="shared" si="4"/>
        <v>-2.4687984011038111E-3</v>
      </c>
      <c r="Q15" s="3">
        <f t="shared" si="5"/>
        <v>4.6911735758801143E-3</v>
      </c>
      <c r="R15" s="3">
        <f t="shared" si="6"/>
        <v>-1.8382358117512432E-3</v>
      </c>
      <c r="S15" s="3">
        <f t="shared" si="7"/>
        <v>-5.6657375356774509E-3</v>
      </c>
      <c r="T15" s="3">
        <f t="shared" si="8"/>
        <v>6.2308917947500042E-3</v>
      </c>
      <c r="U15" s="3">
        <f t="shared" si="9"/>
        <v>1.4906019085627165E-2</v>
      </c>
      <c r="V15" s="3">
        <f t="shared" si="10"/>
        <v>7.3665158167623979E-3</v>
      </c>
      <c r="W15" s="3">
        <f t="shared" si="11"/>
        <v>-6.5574005461588314E-3</v>
      </c>
      <c r="X15" s="3">
        <f t="shared" si="12"/>
        <v>1.9791407631579716E-3</v>
      </c>
      <c r="Z15" s="5"/>
      <c r="AA15" s="5" t="s">
        <v>268</v>
      </c>
      <c r="AB15" s="5" t="s">
        <v>269</v>
      </c>
      <c r="AC15" s="5" t="s">
        <v>270</v>
      </c>
      <c r="AD15" s="5" t="s">
        <v>271</v>
      </c>
      <c r="AE15" s="5" t="s">
        <v>272</v>
      </c>
      <c r="AF15" s="5" t="s">
        <v>273</v>
      </c>
      <c r="AG15" s="5" t="s">
        <v>274</v>
      </c>
      <c r="AH15" s="5" t="s">
        <v>275</v>
      </c>
      <c r="AI15" s="5" t="s">
        <v>276</v>
      </c>
      <c r="AJ15" s="5" t="s">
        <v>277</v>
      </c>
      <c r="AL15" s="11" t="s">
        <v>279</v>
      </c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Z15" s="3" t="s">
        <v>19</v>
      </c>
      <c r="BA15" s="3">
        <v>10</v>
      </c>
      <c r="BB15" s="3">
        <f t="shared" si="17"/>
        <v>0.997477167650895</v>
      </c>
      <c r="BC15" s="3">
        <f t="shared" si="18"/>
        <v>0.99776896120787817</v>
      </c>
      <c r="BD15" s="3">
        <f t="shared" si="20"/>
        <v>1.0230827288919573</v>
      </c>
      <c r="BE15" s="3">
        <f t="shared" si="21"/>
        <v>1.0558449461830806</v>
      </c>
      <c r="BF15" s="3">
        <f t="shared" si="22"/>
        <v>0.98445826300847894</v>
      </c>
      <c r="BH15" s="3">
        <f t="shared" si="23"/>
        <v>5.5387024639529372E-3</v>
      </c>
      <c r="BI15" s="3">
        <f t="shared" si="24"/>
        <v>6.130309169698837E-3</v>
      </c>
      <c r="BJ15" s="3">
        <f t="shared" si="25"/>
        <v>1.060817205402511E-2</v>
      </c>
      <c r="BK15" s="3">
        <f t="shared" si="26"/>
        <v>1.7649751270473482E-2</v>
      </c>
    </row>
    <row r="16" spans="1:63" x14ac:dyDescent="0.2">
      <c r="A16" s="3" t="s">
        <v>23</v>
      </c>
      <c r="B16" s="3">
        <v>78.55</v>
      </c>
      <c r="C16" s="3">
        <v>88.3</v>
      </c>
      <c r="D16" s="3">
        <v>14.564</v>
      </c>
      <c r="E16" s="3">
        <v>64.099999999999994</v>
      </c>
      <c r="F16" s="3">
        <v>54.35</v>
      </c>
      <c r="G16" s="3">
        <v>176</v>
      </c>
      <c r="H16" s="3">
        <v>36.545000000000002</v>
      </c>
      <c r="I16" s="3">
        <v>114.9</v>
      </c>
      <c r="J16" s="3">
        <v>10.9</v>
      </c>
      <c r="K16" s="3">
        <v>83.6</v>
      </c>
      <c r="L16" s="3">
        <v>25865.390625</v>
      </c>
      <c r="N16" s="3">
        <f t="shared" si="2"/>
        <v>-1.1523815106933455E-2</v>
      </c>
      <c r="O16" s="3">
        <f t="shared" si="3"/>
        <v>2.2624444039687219E-3</v>
      </c>
      <c r="P16" s="3">
        <f t="shared" si="4"/>
        <v>1.2351610710514827E-3</v>
      </c>
      <c r="Q16" s="3">
        <f t="shared" si="5"/>
        <v>-8.6173662911610549E-3</v>
      </c>
      <c r="R16" s="3">
        <f t="shared" si="6"/>
        <v>0</v>
      </c>
      <c r="S16" s="3">
        <f t="shared" si="7"/>
        <v>-1.0279930619748967E-2</v>
      </c>
      <c r="T16" s="3">
        <f t="shared" si="8"/>
        <v>-2.2637672478386772E-2</v>
      </c>
      <c r="U16" s="3">
        <f t="shared" si="9"/>
        <v>-6.1108876327997663E-3</v>
      </c>
      <c r="V16" s="3">
        <f t="shared" si="10"/>
        <v>-2.226437049739971E-2</v>
      </c>
      <c r="W16" s="3">
        <f t="shared" si="11"/>
        <v>-5.9826504925286628E-4</v>
      </c>
      <c r="X16" s="3">
        <f t="shared" si="12"/>
        <v>-9.3947632727822139E-3</v>
      </c>
      <c r="Z16" s="5" t="s">
        <v>268</v>
      </c>
      <c r="AA16" s="15">
        <f t="array" ref="AA16:AJ25">eigenvalue(AA3:AJ12)</f>
        <v>5.6509079706213985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7">
        <v>0</v>
      </c>
      <c r="AL16" s="11" t="s">
        <v>257</v>
      </c>
      <c r="AM16" s="12" t="s">
        <v>268</v>
      </c>
      <c r="AN16" s="12" t="s">
        <v>269</v>
      </c>
      <c r="AO16" s="12" t="s">
        <v>270</v>
      </c>
      <c r="AP16" s="12" t="s">
        <v>271</v>
      </c>
      <c r="AQ16" s="12" t="s">
        <v>272</v>
      </c>
      <c r="AR16" s="12" t="s">
        <v>273</v>
      </c>
      <c r="AS16" s="12" t="s">
        <v>274</v>
      </c>
      <c r="AT16" s="12" t="s">
        <v>275</v>
      </c>
      <c r="AU16" s="12" t="s">
        <v>276</v>
      </c>
      <c r="AV16" s="12" t="s">
        <v>277</v>
      </c>
      <c r="AW16" s="12" t="s">
        <v>259</v>
      </c>
      <c r="AZ16" s="3" t="s">
        <v>20</v>
      </c>
      <c r="BA16" s="3">
        <v>11</v>
      </c>
      <c r="BB16" s="3">
        <f t="shared" si="17"/>
        <v>1.0030172250992277</v>
      </c>
      <c r="BC16" s="3">
        <f t="shared" si="18"/>
        <v>1.0039043802132779</v>
      </c>
      <c r="BD16" s="3">
        <f t="shared" si="20"/>
        <v>1.0339935360464003</v>
      </c>
      <c r="BE16" s="3">
        <f t="shared" si="21"/>
        <v>1.0746457737715955</v>
      </c>
      <c r="BF16" s="3">
        <f t="shared" si="22"/>
        <v>0.98420140036028547</v>
      </c>
      <c r="BH16" s="3">
        <f t="shared" si="23"/>
        <v>-5.1900406148614213E-3</v>
      </c>
      <c r="BI16" s="3">
        <f t="shared" si="24"/>
        <v>-5.8226692831653878E-3</v>
      </c>
      <c r="BJ16" s="3">
        <f t="shared" si="25"/>
        <v>-7.131711711884238E-3</v>
      </c>
      <c r="BK16" s="3">
        <f t="shared" si="26"/>
        <v>-1.054130221130227E-2</v>
      </c>
    </row>
    <row r="17" spans="1:63" x14ac:dyDescent="0.2">
      <c r="A17" s="3" t="s">
        <v>24</v>
      </c>
      <c r="B17" s="3">
        <v>77.650000000000006</v>
      </c>
      <c r="C17" s="3">
        <v>88.5</v>
      </c>
      <c r="D17" s="3">
        <v>14.582000000000001</v>
      </c>
      <c r="E17" s="3">
        <v>63.55</v>
      </c>
      <c r="F17" s="3">
        <v>54.35</v>
      </c>
      <c r="G17" s="3">
        <v>174.2</v>
      </c>
      <c r="H17" s="3">
        <v>35.726999999999997</v>
      </c>
      <c r="I17" s="3">
        <v>114.2</v>
      </c>
      <c r="J17" s="3">
        <v>10.66</v>
      </c>
      <c r="K17" s="3">
        <v>83.55</v>
      </c>
      <c r="L17" s="3">
        <v>25623.529297000001</v>
      </c>
      <c r="N17" s="3">
        <f t="shared" si="2"/>
        <v>-1.7538611304285467E-2</v>
      </c>
      <c r="O17" s="3">
        <f t="shared" si="3"/>
        <v>3.3840979842407748E-3</v>
      </c>
      <c r="P17" s="3">
        <f t="shared" si="4"/>
        <v>1.2336373300523285E-3</v>
      </c>
      <c r="Q17" s="3">
        <f t="shared" si="5"/>
        <v>1.5613119657188257E-2</v>
      </c>
      <c r="R17" s="3">
        <f t="shared" si="6"/>
        <v>-1.8416211466494303E-3</v>
      </c>
      <c r="S17" s="3">
        <f t="shared" si="7"/>
        <v>3.4383988030324275E-3</v>
      </c>
      <c r="T17" s="3">
        <f t="shared" si="8"/>
        <v>-3.8139085463271272E-3</v>
      </c>
      <c r="U17" s="3">
        <f t="shared" si="9"/>
        <v>-9.6789140998350121E-3</v>
      </c>
      <c r="V17" s="3">
        <f t="shared" si="10"/>
        <v>-1.3220211428134565E-2</v>
      </c>
      <c r="W17" s="3">
        <f t="shared" si="11"/>
        <v>-4.7990494024663377E-3</v>
      </c>
      <c r="X17" s="3">
        <f t="shared" si="12"/>
        <v>5.0563882720897624E-3</v>
      </c>
      <c r="Z17" s="5" t="s">
        <v>269</v>
      </c>
      <c r="AA17" s="18">
        <v>0</v>
      </c>
      <c r="AB17" s="3">
        <v>0.88528836713731818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19">
        <v>0</v>
      </c>
      <c r="AL17" s="3">
        <v>1</v>
      </c>
      <c r="AM17" s="3">
        <v>0.30943176576903642</v>
      </c>
      <c r="AN17" s="3">
        <v>0.27238884516301004</v>
      </c>
      <c r="AO17" s="3">
        <v>0.28730271833153681</v>
      </c>
      <c r="AP17" s="3">
        <v>0.2989256097225354</v>
      </c>
      <c r="AQ17" s="3">
        <v>0.27627927046943457</v>
      </c>
      <c r="AR17" s="3">
        <v>0.34187639488590671</v>
      </c>
      <c r="AS17" s="3">
        <v>0.35845327544528666</v>
      </c>
      <c r="AT17" s="3">
        <v>0.36270764216794532</v>
      </c>
      <c r="AU17" s="3">
        <v>0.34806790525818582</v>
      </c>
      <c r="AV17" s="3">
        <v>0.28939656450712098</v>
      </c>
      <c r="AW17" s="3">
        <f>SUMPRODUCT(AM17:AV17,AM$21:AV$21)</f>
        <v>0.3144829991719999</v>
      </c>
      <c r="AZ17" s="3" t="s">
        <v>22</v>
      </c>
      <c r="BA17" s="3">
        <v>12</v>
      </c>
      <c r="BB17" s="3">
        <f t="shared" si="17"/>
        <v>0.99782501052084005</v>
      </c>
      <c r="BC17" s="3">
        <f t="shared" si="18"/>
        <v>0.9980759619583075</v>
      </c>
      <c r="BD17" s="3">
        <f t="shared" si="20"/>
        <v>1.0266456249707769</v>
      </c>
      <c r="BE17" s="3">
        <f t="shared" si="21"/>
        <v>1.0633771054660197</v>
      </c>
      <c r="BF17" s="3">
        <f t="shared" si="22"/>
        <v>0.9738745791166401</v>
      </c>
      <c r="BH17" s="3">
        <f t="shared" si="23"/>
        <v>1.2309279844931521E-3</v>
      </c>
      <c r="BI17" s="3">
        <f t="shared" si="24"/>
        <v>4.1508764666007007E-4</v>
      </c>
      <c r="BJ17" s="3">
        <f t="shared" si="25"/>
        <v>-2.8884820596304164E-3</v>
      </c>
      <c r="BK17" s="3">
        <f t="shared" si="26"/>
        <v>-8.3225034264386433E-3</v>
      </c>
    </row>
    <row r="18" spans="1:63" x14ac:dyDescent="0.2">
      <c r="A18" s="3" t="s">
        <v>25</v>
      </c>
      <c r="B18" s="3">
        <v>76.3</v>
      </c>
      <c r="C18" s="3">
        <v>88.8</v>
      </c>
      <c r="D18" s="3">
        <v>14.6</v>
      </c>
      <c r="E18" s="3">
        <v>64.55</v>
      </c>
      <c r="F18" s="3">
        <v>54.25</v>
      </c>
      <c r="G18" s="3">
        <v>174.8</v>
      </c>
      <c r="H18" s="3">
        <v>35.591000000000001</v>
      </c>
      <c r="I18" s="3">
        <v>113.1</v>
      </c>
      <c r="J18" s="3">
        <v>10.52</v>
      </c>
      <c r="K18" s="3">
        <v>83.15</v>
      </c>
      <c r="L18" s="3">
        <v>25753.419922000001</v>
      </c>
      <c r="N18" s="3">
        <f t="shared" si="2"/>
        <v>-4.5977092486291227E-3</v>
      </c>
      <c r="O18" s="3">
        <f t="shared" si="3"/>
        <v>1.0084119066625874E-2</v>
      </c>
      <c r="P18" s="3">
        <f t="shared" si="4"/>
        <v>6.2135326739993779E-3</v>
      </c>
      <c r="Q18" s="3">
        <f t="shared" si="5"/>
        <v>-6.2160262310060332E-3</v>
      </c>
      <c r="R18" s="3">
        <f t="shared" si="6"/>
        <v>1.0999194300670645E-2</v>
      </c>
      <c r="S18" s="3">
        <f t="shared" si="7"/>
        <v>-1.1448198159333955E-3</v>
      </c>
      <c r="T18" s="3">
        <f t="shared" si="8"/>
        <v>6.3577634369065272E-3</v>
      </c>
      <c r="U18" s="3">
        <f t="shared" si="9"/>
        <v>2.6490081715770941E-3</v>
      </c>
      <c r="V18" s="3">
        <f t="shared" si="10"/>
        <v>1.3220211428134565E-2</v>
      </c>
      <c r="W18" s="3">
        <f t="shared" si="11"/>
        <v>2.4024035578662506E-3</v>
      </c>
      <c r="X18" s="3">
        <f t="shared" si="12"/>
        <v>-3.9700259691848316E-3</v>
      </c>
      <c r="Z18" s="5" t="s">
        <v>270</v>
      </c>
      <c r="AA18" s="18">
        <v>0</v>
      </c>
      <c r="AB18" s="3">
        <v>0</v>
      </c>
      <c r="AC18" s="3">
        <v>0.70518911404800388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19">
        <v>0</v>
      </c>
      <c r="AL18" s="3">
        <v>2</v>
      </c>
      <c r="AM18" s="3">
        <v>-0.29379584576020928</v>
      </c>
      <c r="AN18" s="3">
        <v>0.62604279763990445</v>
      </c>
      <c r="AO18" s="3">
        <v>0.55828605318847813</v>
      </c>
      <c r="AP18" s="3">
        <v>-0.11355579448402661</v>
      </c>
      <c r="AQ18" s="3">
        <v>7.6836830057155185E-3</v>
      </c>
      <c r="AR18" s="3">
        <v>0.12948964914049038</v>
      </c>
      <c r="AS18" s="3">
        <v>-6.5273387846608161E-2</v>
      </c>
      <c r="AT18" s="3">
        <v>-0.16778754565581402</v>
      </c>
      <c r="AU18" s="3">
        <v>-0.22227313792553774</v>
      </c>
      <c r="AV18" s="3">
        <v>-0.31389639881826931</v>
      </c>
      <c r="AW18" s="3">
        <f t="shared" ref="AW18:AW20" si="31">SUMPRODUCT(AM18:AV18,AM$21:AV$21)</f>
        <v>1.4492007248412327E-2</v>
      </c>
      <c r="AZ18" s="3" t="s">
        <v>23</v>
      </c>
      <c r="BA18" s="3">
        <v>13</v>
      </c>
      <c r="BB18" s="3">
        <f t="shared" si="17"/>
        <v>0.99905401750428091</v>
      </c>
      <c r="BC18" s="3">
        <f t="shared" si="18"/>
        <v>0.99849033695556633</v>
      </c>
      <c r="BD18" s="3">
        <f t="shared" si="20"/>
        <v>1.0236844562017167</v>
      </c>
      <c r="BE18" s="3">
        <f t="shared" si="21"/>
        <v>1.0545638708199305</v>
      </c>
      <c r="BF18" s="3">
        <f t="shared" si="22"/>
        <v>0.97580392258575643</v>
      </c>
      <c r="BH18" s="3">
        <f t="shared" si="23"/>
        <v>-7.8047249500539737E-3</v>
      </c>
      <c r="BI18" s="3">
        <f t="shared" si="24"/>
        <v>-6.4656631352716567E-3</v>
      </c>
      <c r="BJ18" s="3">
        <f t="shared" si="25"/>
        <v>-9.6624006266461671E-4</v>
      </c>
      <c r="BK18" s="3">
        <f t="shared" si="26"/>
        <v>8.3416565721988051E-3</v>
      </c>
    </row>
    <row r="19" spans="1:63" x14ac:dyDescent="0.2">
      <c r="A19" s="3" t="s">
        <v>26</v>
      </c>
      <c r="B19" s="3">
        <v>75.95</v>
      </c>
      <c r="C19" s="3">
        <v>89.7</v>
      </c>
      <c r="D19" s="3">
        <v>14.691000000000001</v>
      </c>
      <c r="E19" s="3">
        <v>64.150000000000006</v>
      </c>
      <c r="F19" s="3">
        <v>54.85</v>
      </c>
      <c r="G19" s="3">
        <v>174.6</v>
      </c>
      <c r="H19" s="3">
        <v>35.817999999999998</v>
      </c>
      <c r="I19" s="3">
        <v>113.4</v>
      </c>
      <c r="J19" s="3">
        <v>10.66</v>
      </c>
      <c r="K19" s="3">
        <v>83.35</v>
      </c>
      <c r="L19" s="3">
        <v>25651.380859000001</v>
      </c>
      <c r="N19" s="3">
        <f t="shared" si="2"/>
        <v>-7.9313039692774367E-3</v>
      </c>
      <c r="O19" s="3">
        <f t="shared" si="3"/>
        <v>-6.7114345879861759E-3</v>
      </c>
      <c r="P19" s="3">
        <f t="shared" si="4"/>
        <v>3.6689808789494016E-3</v>
      </c>
      <c r="Q19" s="3">
        <f t="shared" si="5"/>
        <v>-2.3410077019736519E-3</v>
      </c>
      <c r="R19" s="3">
        <f t="shared" si="6"/>
        <v>-5.4844744421598257E-3</v>
      </c>
      <c r="S19" s="3">
        <f t="shared" si="7"/>
        <v>-2.867796631358388E-3</v>
      </c>
      <c r="T19" s="3">
        <f t="shared" si="8"/>
        <v>-1.5332761590773458E-2</v>
      </c>
      <c r="U19" s="3">
        <f t="shared" si="9"/>
        <v>-1.4209830572653459E-2</v>
      </c>
      <c r="V19" s="3">
        <f t="shared" si="10"/>
        <v>-1.7029739844802272E-2</v>
      </c>
      <c r="W19" s="3">
        <f t="shared" si="11"/>
        <v>-1.8012613696400948E-3</v>
      </c>
      <c r="X19" s="3">
        <f t="shared" si="12"/>
        <v>-6.747497418507109E-3</v>
      </c>
      <c r="Z19" s="5" t="s">
        <v>271</v>
      </c>
      <c r="AA19" s="18">
        <v>0</v>
      </c>
      <c r="AB19" s="3">
        <v>0</v>
      </c>
      <c r="AC19" s="3">
        <v>0</v>
      </c>
      <c r="AD19" s="3">
        <v>0.63737071871490925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19">
        <v>0</v>
      </c>
      <c r="AL19" s="3">
        <v>3</v>
      </c>
      <c r="AM19" s="3">
        <v>5.4543042181097449E-2</v>
      </c>
      <c r="AN19" s="3">
        <v>-8.5877739848753465E-2</v>
      </c>
      <c r="AO19" s="3">
        <v>-6.6216471030159776E-2</v>
      </c>
      <c r="AP19" s="3">
        <v>0.6842174685245529</v>
      </c>
      <c r="AQ19" s="3">
        <v>-0.45075786111268101</v>
      </c>
      <c r="AR19" s="3">
        <v>0.44989424922149368</v>
      </c>
      <c r="AS19" s="3">
        <v>-6.1686027597552137E-2</v>
      </c>
      <c r="AT19" s="3">
        <v>-0.16772172850664654</v>
      </c>
      <c r="AU19" s="3">
        <v>-0.24756342236273765</v>
      </c>
      <c r="AV19" s="3">
        <v>-0.13528129188782986</v>
      </c>
      <c r="AW19" s="3">
        <f t="shared" si="31"/>
        <v>-2.6449782419216399E-3</v>
      </c>
      <c r="AZ19" s="3" t="s">
        <v>24</v>
      </c>
      <c r="BA19" s="3">
        <v>14</v>
      </c>
      <c r="BB19" s="3">
        <f t="shared" si="17"/>
        <v>0.99128702473487673</v>
      </c>
      <c r="BC19" s="3">
        <f t="shared" si="18"/>
        <v>0.99205526072862815</v>
      </c>
      <c r="BD19" s="3">
        <f t="shared" si="20"/>
        <v>1.0226958089808023</v>
      </c>
      <c r="BE19" s="3">
        <f t="shared" si="21"/>
        <v>1.0633974726777662</v>
      </c>
      <c r="BF19" s="3">
        <f t="shared" si="22"/>
        <v>0.96667940418949894</v>
      </c>
      <c r="BH19" s="3">
        <f t="shared" si="23"/>
        <v>-2.7180038367146664E-3</v>
      </c>
      <c r="BI19" s="3">
        <f t="shared" si="24"/>
        <v>-1.5332837820550525E-3</v>
      </c>
      <c r="BJ19" s="3">
        <f t="shared" si="25"/>
        <v>-2.7526205906936996E-3</v>
      </c>
      <c r="BK19" s="3">
        <f t="shared" si="26"/>
        <v>-3.083865526137132E-3</v>
      </c>
    </row>
    <row r="20" spans="1:63" x14ac:dyDescent="0.2">
      <c r="A20" s="3" t="s">
        <v>27</v>
      </c>
      <c r="B20" s="3">
        <v>75.349999999999994</v>
      </c>
      <c r="C20" s="3">
        <v>89.1</v>
      </c>
      <c r="D20" s="3">
        <v>14.744999999999999</v>
      </c>
      <c r="E20" s="3">
        <v>64</v>
      </c>
      <c r="F20" s="3">
        <v>54.55</v>
      </c>
      <c r="G20" s="3">
        <v>174.1</v>
      </c>
      <c r="H20" s="3">
        <v>35.273000000000003</v>
      </c>
      <c r="I20" s="3">
        <v>111.8</v>
      </c>
      <c r="J20" s="3">
        <v>10.48</v>
      </c>
      <c r="K20" s="3">
        <v>83.2</v>
      </c>
      <c r="L20" s="3">
        <v>25478.880859000001</v>
      </c>
      <c r="N20" s="3">
        <f t="shared" si="2"/>
        <v>0</v>
      </c>
      <c r="O20" s="3">
        <f t="shared" si="3"/>
        <v>-1.6849203649194067E-3</v>
      </c>
      <c r="P20" s="3">
        <f t="shared" si="4"/>
        <v>-2.4444909300336271E-3</v>
      </c>
      <c r="Q20" s="3">
        <f t="shared" si="5"/>
        <v>-3.9138993211356166E-3</v>
      </c>
      <c r="R20" s="3">
        <f t="shared" si="6"/>
        <v>-6.436803833479221E-3</v>
      </c>
      <c r="S20" s="3">
        <f t="shared" si="7"/>
        <v>1.1481057518318849E-3</v>
      </c>
      <c r="T20" s="3">
        <f t="shared" si="8"/>
        <v>-6.4848488014863648E-3</v>
      </c>
      <c r="U20" s="3">
        <f t="shared" si="9"/>
        <v>-1.4414664002184274E-2</v>
      </c>
      <c r="V20" s="3">
        <f t="shared" si="10"/>
        <v>-1.3448809812612872E-2</v>
      </c>
      <c r="W20" s="3">
        <f t="shared" si="11"/>
        <v>-5.4233335699906959E-3</v>
      </c>
      <c r="X20" s="3">
        <f t="shared" si="12"/>
        <v>9.9320645369260774E-4</v>
      </c>
      <c r="Z20" s="5" t="s">
        <v>272</v>
      </c>
      <c r="AA20" s="18">
        <v>0</v>
      </c>
      <c r="AB20" s="3">
        <v>0</v>
      </c>
      <c r="AC20" s="3">
        <v>0</v>
      </c>
      <c r="AD20" s="3">
        <v>0</v>
      </c>
      <c r="AE20" s="3">
        <v>0.41156018710868636</v>
      </c>
      <c r="AF20" s="3">
        <v>0</v>
      </c>
      <c r="AG20" s="3">
        <v>0</v>
      </c>
      <c r="AH20" s="3">
        <v>0</v>
      </c>
      <c r="AI20" s="3">
        <v>0</v>
      </c>
      <c r="AJ20" s="19">
        <v>0</v>
      </c>
      <c r="AL20" s="3">
        <v>4</v>
      </c>
      <c r="AM20" s="3">
        <v>0.33993195911457524</v>
      </c>
      <c r="AN20" s="3">
        <v>-5.6741389591666754E-2</v>
      </c>
      <c r="AO20" s="3">
        <v>-7.2293500297846536E-2</v>
      </c>
      <c r="AP20" s="3">
        <v>0.21726870665996928</v>
      </c>
      <c r="AQ20" s="3">
        <v>0.75430659188936255</v>
      </c>
      <c r="AR20" s="3">
        <v>1.4127832457715052E-2</v>
      </c>
      <c r="AS20" s="3">
        <v>-0.25603360522017066</v>
      </c>
      <c r="AT20" s="3">
        <v>-0.26778032608286328</v>
      </c>
      <c r="AU20" s="3">
        <v>-0.26067012979622434</v>
      </c>
      <c r="AV20" s="3">
        <v>-0.23325561081346197</v>
      </c>
      <c r="AW20" s="3">
        <f t="shared" si="31"/>
        <v>1.7886052831938854E-2</v>
      </c>
      <c r="AZ20" s="3" t="s">
        <v>25</v>
      </c>
      <c r="BA20" s="3">
        <v>15</v>
      </c>
      <c r="BB20" s="3">
        <f t="shared" si="17"/>
        <v>0.98859636107189119</v>
      </c>
      <c r="BC20" s="3">
        <f t="shared" si="18"/>
        <v>0.99053532403137012</v>
      </c>
      <c r="BD20" s="3">
        <f t="shared" si="20"/>
        <v>1.0198845863286981</v>
      </c>
      <c r="BE20" s="3">
        <f t="shared" si="21"/>
        <v>1.0601231492527226</v>
      </c>
      <c r="BF20" s="3">
        <f t="shared" si="22"/>
        <v>0.9715796890226075</v>
      </c>
      <c r="BH20" s="3">
        <f t="shared" si="23"/>
        <v>4.1645277041783713E-3</v>
      </c>
      <c r="BI20" s="3">
        <f t="shared" si="24"/>
        <v>4.1167996915260213E-3</v>
      </c>
      <c r="BJ20" s="3">
        <f t="shared" si="25"/>
        <v>9.577407474818514E-3</v>
      </c>
      <c r="BK20" s="3">
        <f t="shared" si="26"/>
        <v>1.6172018465246123E-2</v>
      </c>
    </row>
    <row r="21" spans="1:63" x14ac:dyDescent="0.2">
      <c r="A21" s="3" t="s">
        <v>28</v>
      </c>
      <c r="B21" s="3">
        <v>75.349999999999994</v>
      </c>
      <c r="C21" s="3">
        <v>88.95</v>
      </c>
      <c r="D21" s="3">
        <v>14.709</v>
      </c>
      <c r="E21" s="3">
        <v>63.75</v>
      </c>
      <c r="F21" s="3">
        <v>54.2</v>
      </c>
      <c r="G21" s="3">
        <v>174.3</v>
      </c>
      <c r="H21" s="3">
        <v>35.045000000000002</v>
      </c>
      <c r="I21" s="3">
        <v>110.2</v>
      </c>
      <c r="J21" s="3">
        <v>10.34</v>
      </c>
      <c r="K21" s="3">
        <v>82.75</v>
      </c>
      <c r="L21" s="3">
        <v>25504.199218999998</v>
      </c>
      <c r="N21" s="3">
        <f t="shared" si="2"/>
        <v>-1.9926941167103251E-3</v>
      </c>
      <c r="O21" s="3">
        <f t="shared" si="3"/>
        <v>-5.0718620979610662E-3</v>
      </c>
      <c r="P21" s="3">
        <f t="shared" si="4"/>
        <v>1.2229924068192233E-3</v>
      </c>
      <c r="Q21" s="3">
        <f t="shared" si="5"/>
        <v>1.6336419319692652E-2</v>
      </c>
      <c r="R21" s="3">
        <f t="shared" si="6"/>
        <v>5.5197932235979685E-3</v>
      </c>
      <c r="S21" s="3">
        <f t="shared" si="7"/>
        <v>8.5690327251013443E-3</v>
      </c>
      <c r="T21" s="3">
        <f t="shared" si="8"/>
        <v>1.163133680367201E-2</v>
      </c>
      <c r="U21" s="3">
        <f t="shared" si="9"/>
        <v>1.262415322839594E-2</v>
      </c>
      <c r="V21" s="3">
        <f t="shared" si="10"/>
        <v>1.9323677510536541E-3</v>
      </c>
      <c r="W21" s="3">
        <f t="shared" si="11"/>
        <v>-6.0441222752682933E-4</v>
      </c>
      <c r="X21" s="3">
        <f t="shared" si="12"/>
        <v>1.330109874409402E-2</v>
      </c>
      <c r="Z21" s="5" t="s">
        <v>273</v>
      </c>
      <c r="AA21" s="18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0.28513398413949509</v>
      </c>
      <c r="AG21" s="3">
        <v>0</v>
      </c>
      <c r="AH21" s="3">
        <v>0</v>
      </c>
      <c r="AI21" s="3">
        <v>0</v>
      </c>
      <c r="AJ21" s="19">
        <v>0</v>
      </c>
      <c r="AL21" s="7" t="s">
        <v>283</v>
      </c>
      <c r="AM21" s="3">
        <v>0.1</v>
      </c>
      <c r="AN21" s="3">
        <v>0.1</v>
      </c>
      <c r="AO21" s="3">
        <v>0.1</v>
      </c>
      <c r="AP21" s="3">
        <v>0.1</v>
      </c>
      <c r="AQ21" s="3">
        <v>0.1</v>
      </c>
      <c r="AR21" s="3">
        <v>0.1</v>
      </c>
      <c r="AS21" s="3">
        <v>0.1</v>
      </c>
      <c r="AT21" s="3">
        <v>0.1</v>
      </c>
      <c r="AU21" s="3">
        <v>0.1</v>
      </c>
      <c r="AV21" s="3">
        <v>0.1</v>
      </c>
      <c r="AZ21" s="3" t="s">
        <v>26</v>
      </c>
      <c r="BA21" s="3">
        <v>16</v>
      </c>
      <c r="BB21" s="3">
        <f t="shared" si="17"/>
        <v>0.9927219826759055</v>
      </c>
      <c r="BC21" s="3">
        <f t="shared" si="18"/>
        <v>0.99462156489420384</v>
      </c>
      <c r="BD21" s="3">
        <f t="shared" si="20"/>
        <v>1.0296993616173693</v>
      </c>
      <c r="BE21" s="3">
        <f t="shared" si="21"/>
        <v>1.0774068599537228</v>
      </c>
      <c r="BF21" s="3">
        <f t="shared" si="22"/>
        <v>0.96773013888915094</v>
      </c>
      <c r="BH21" s="3">
        <f t="shared" si="23"/>
        <v>-7.005839425244801E-3</v>
      </c>
      <c r="BI21" s="3">
        <f t="shared" si="24"/>
        <v>-6.0362628471477119E-3</v>
      </c>
      <c r="BJ21" s="3">
        <f t="shared" si="25"/>
        <v>-4.9993213905734912E-3</v>
      </c>
      <c r="BK21" s="3">
        <f t="shared" si="26"/>
        <v>-2.1752407414738634E-3</v>
      </c>
    </row>
    <row r="22" spans="1:63" x14ac:dyDescent="0.2">
      <c r="A22" s="3" t="s">
        <v>29</v>
      </c>
      <c r="B22" s="3">
        <v>75.2</v>
      </c>
      <c r="C22" s="3">
        <v>88.5</v>
      </c>
      <c r="D22" s="3">
        <v>14.727</v>
      </c>
      <c r="E22" s="3">
        <v>64.8</v>
      </c>
      <c r="F22" s="3">
        <v>54.5</v>
      </c>
      <c r="G22" s="3">
        <v>175.8</v>
      </c>
      <c r="H22" s="3">
        <v>35.454999999999998</v>
      </c>
      <c r="I22" s="3">
        <v>111.6</v>
      </c>
      <c r="J22" s="3">
        <v>10.36</v>
      </c>
      <c r="K22" s="3">
        <v>82.7</v>
      </c>
      <c r="L22" s="3">
        <v>25845.699218999998</v>
      </c>
      <c r="N22" s="3">
        <f t="shared" si="2"/>
        <v>-1.0695289116747553E-2</v>
      </c>
      <c r="O22" s="3">
        <f t="shared" si="3"/>
        <v>-1.4224990931347214E-2</v>
      </c>
      <c r="P22" s="3">
        <f t="shared" si="4"/>
        <v>3.7276806186699041E-3</v>
      </c>
      <c r="Q22" s="3">
        <f t="shared" si="5"/>
        <v>-2.342027420809778E-2</v>
      </c>
      <c r="R22" s="3">
        <f t="shared" si="6"/>
        <v>-1.8519047767237673E-2</v>
      </c>
      <c r="S22" s="3">
        <f t="shared" si="7"/>
        <v>-1.6055390753296983E-2</v>
      </c>
      <c r="T22" s="3">
        <f t="shared" si="8"/>
        <v>-1.9423063181242206E-2</v>
      </c>
      <c r="U22" s="3">
        <f t="shared" si="9"/>
        <v>-2.5409715525367638E-2</v>
      </c>
      <c r="V22" s="3">
        <f t="shared" si="10"/>
        <v>-2.1464238668299718E-2</v>
      </c>
      <c r="W22" s="3">
        <f t="shared" si="11"/>
        <v>-3.5069727368624015E-2</v>
      </c>
      <c r="X22" s="3">
        <f t="shared" si="12"/>
        <v>-2.8067949129656711E-2</v>
      </c>
      <c r="Z22" s="5" t="s">
        <v>274</v>
      </c>
      <c r="AA22" s="18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0.47954106986702005</v>
      </c>
      <c r="AH22" s="3">
        <v>0</v>
      </c>
      <c r="AI22" s="3">
        <v>0</v>
      </c>
      <c r="AJ22" s="19">
        <v>0</v>
      </c>
      <c r="AL22" s="7" t="s">
        <v>263</v>
      </c>
      <c r="AZ22" s="3" t="s">
        <v>27</v>
      </c>
      <c r="BA22" s="3">
        <v>17</v>
      </c>
      <c r="BB22" s="3">
        <f t="shared" si="17"/>
        <v>0.98579143736210506</v>
      </c>
      <c r="BC22" s="3">
        <f t="shared" si="18"/>
        <v>0.98863585153947342</v>
      </c>
      <c r="BD22" s="3">
        <f t="shared" si="20"/>
        <v>1.0245644099048516</v>
      </c>
      <c r="BE22" s="3">
        <f t="shared" si="21"/>
        <v>1.0750657877776948</v>
      </c>
      <c r="BF22" s="3">
        <f t="shared" si="22"/>
        <v>0.96122236256802518</v>
      </c>
      <c r="BH22" s="3">
        <f t="shared" si="23"/>
        <v>-5.3481573798929236E-3</v>
      </c>
      <c r="BI22" s="3">
        <f t="shared" si="24"/>
        <v>-4.7532206965290227E-3</v>
      </c>
      <c r="BJ22" s="3">
        <f t="shared" si="25"/>
        <v>-4.2823306658189356E-3</v>
      </c>
      <c r="BK22" s="3">
        <f t="shared" si="26"/>
        <v>-2.8305169837506972E-3</v>
      </c>
    </row>
    <row r="23" spans="1:63" x14ac:dyDescent="0.2">
      <c r="A23" s="3" t="s">
        <v>30</v>
      </c>
      <c r="B23" s="3">
        <v>74.400000000000006</v>
      </c>
      <c r="C23" s="3">
        <v>87.25</v>
      </c>
      <c r="D23" s="3">
        <v>14.782</v>
      </c>
      <c r="E23" s="3">
        <v>63.3</v>
      </c>
      <c r="F23" s="3">
        <v>53.5</v>
      </c>
      <c r="G23" s="3">
        <v>173</v>
      </c>
      <c r="H23" s="3">
        <v>34.773000000000003</v>
      </c>
      <c r="I23" s="3">
        <v>108.8</v>
      </c>
      <c r="J23" s="3">
        <v>10.14</v>
      </c>
      <c r="K23" s="3">
        <v>79.849999999999994</v>
      </c>
      <c r="L23" s="3">
        <v>25130.349609000001</v>
      </c>
      <c r="N23" s="3">
        <f t="shared" si="2"/>
        <v>-1.4213437250055527E-2</v>
      </c>
      <c r="O23" s="3">
        <f t="shared" si="3"/>
        <v>0</v>
      </c>
      <c r="P23" s="3">
        <f t="shared" si="4"/>
        <v>-4.9506730254891274E-3</v>
      </c>
      <c r="Q23" s="3">
        <f t="shared" si="5"/>
        <v>-7.90201542501201E-4</v>
      </c>
      <c r="R23" s="3">
        <f t="shared" si="6"/>
        <v>4.662013105811269E-3</v>
      </c>
      <c r="S23" s="3">
        <f t="shared" si="7"/>
        <v>-2.8732554083209294E-2</v>
      </c>
      <c r="T23" s="3">
        <f t="shared" si="8"/>
        <v>1.1693364601995881E-2</v>
      </c>
      <c r="U23" s="3">
        <f t="shared" si="9"/>
        <v>2.8987536873251507E-2</v>
      </c>
      <c r="V23" s="3">
        <f t="shared" si="10"/>
        <v>3.9370129593394587E-3</v>
      </c>
      <c r="W23" s="3">
        <f t="shared" si="11"/>
        <v>-4.3928530007351085E-3</v>
      </c>
      <c r="X23" s="3">
        <f t="shared" si="12"/>
        <v>-2.6293716351730723E-3</v>
      </c>
      <c r="Z23" s="5" t="s">
        <v>275</v>
      </c>
      <c r="AA23" s="18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0.22168792986420222</v>
      </c>
      <c r="AI23" s="3">
        <v>0</v>
      </c>
      <c r="AJ23" s="19">
        <v>0</v>
      </c>
      <c r="AL23" s="11" t="s">
        <v>257</v>
      </c>
      <c r="AM23" s="12" t="s">
        <v>268</v>
      </c>
      <c r="AN23" s="12" t="s">
        <v>269</v>
      </c>
      <c r="AO23" s="12" t="s">
        <v>270</v>
      </c>
      <c r="AP23" s="12" t="s">
        <v>271</v>
      </c>
      <c r="AQ23" s="12" t="s">
        <v>272</v>
      </c>
      <c r="AR23" s="12" t="s">
        <v>273</v>
      </c>
      <c r="AS23" s="12" t="s">
        <v>274</v>
      </c>
      <c r="AT23" s="12" t="s">
        <v>275</v>
      </c>
      <c r="AU23" s="12" t="s">
        <v>276</v>
      </c>
      <c r="AV23" s="12" t="s">
        <v>277</v>
      </c>
      <c r="AW23" s="12" t="s">
        <v>259</v>
      </c>
      <c r="AZ23" s="3" t="s">
        <v>28</v>
      </c>
      <c r="BA23" s="3">
        <v>18</v>
      </c>
      <c r="BB23" s="3">
        <f t="shared" si="17"/>
        <v>0.98053334270322634</v>
      </c>
      <c r="BC23" s="3">
        <f t="shared" si="18"/>
        <v>0.98394779765245843</v>
      </c>
      <c r="BD23" s="3">
        <f t="shared" si="20"/>
        <v>1.0201862673309705</v>
      </c>
      <c r="BE23" s="3">
        <f t="shared" si="21"/>
        <v>1.0720270983665214</v>
      </c>
      <c r="BF23" s="3">
        <f t="shared" si="22"/>
        <v>0.96217752908221488</v>
      </c>
      <c r="BH23" s="3">
        <f t="shared" si="23"/>
        <v>4.9810763956087273E-3</v>
      </c>
      <c r="BI23" s="3">
        <f t="shared" si="24"/>
        <v>4.8692858413261885E-3</v>
      </c>
      <c r="BJ23" s="3">
        <f t="shared" si="25"/>
        <v>7.1535217992019923E-4</v>
      </c>
      <c r="BK23" s="3">
        <f t="shared" si="26"/>
        <v>-4.8139794157324722E-3</v>
      </c>
    </row>
    <row r="24" spans="1:63" x14ac:dyDescent="0.2">
      <c r="A24" s="3" t="s">
        <v>31</v>
      </c>
      <c r="B24" s="3">
        <v>73.349999999999994</v>
      </c>
      <c r="C24" s="3">
        <v>87.25</v>
      </c>
      <c r="D24" s="3">
        <v>14.709</v>
      </c>
      <c r="E24" s="3">
        <v>63.25</v>
      </c>
      <c r="F24" s="3">
        <v>53.75</v>
      </c>
      <c r="G24" s="3">
        <v>168.1</v>
      </c>
      <c r="H24" s="3">
        <v>35.182000000000002</v>
      </c>
      <c r="I24" s="3">
        <v>112</v>
      </c>
      <c r="J24" s="3">
        <v>10.18</v>
      </c>
      <c r="K24" s="3">
        <v>79.5</v>
      </c>
      <c r="L24" s="3">
        <v>25064.359375</v>
      </c>
      <c r="N24" s="3">
        <f t="shared" si="2"/>
        <v>2.5573399039994449E-2</v>
      </c>
      <c r="O24" s="3">
        <f t="shared" si="3"/>
        <v>1.8734581437322539E-2</v>
      </c>
      <c r="P24" s="3">
        <f t="shared" si="4"/>
        <v>6.1676294328631975E-3</v>
      </c>
      <c r="Q24" s="3">
        <f t="shared" si="5"/>
        <v>1.7241806434506124E-2</v>
      </c>
      <c r="R24" s="3">
        <f t="shared" si="6"/>
        <v>2.0258519713467482E-2</v>
      </c>
      <c r="S24" s="3">
        <f t="shared" si="7"/>
        <v>-1.7862463814637408E-3</v>
      </c>
      <c r="T24" s="3">
        <f t="shared" si="8"/>
        <v>4.916636806013619E-2</v>
      </c>
      <c r="U24" s="3">
        <f t="shared" si="9"/>
        <v>4.7088036098902109E-2</v>
      </c>
      <c r="V24" s="3">
        <f t="shared" si="10"/>
        <v>4.7947822409672103E-2</v>
      </c>
      <c r="W24" s="3">
        <f t="shared" si="11"/>
        <v>2.8520221948415525E-2</v>
      </c>
      <c r="X24" s="3">
        <f t="shared" si="12"/>
        <v>2.2161712498611763E-2</v>
      </c>
      <c r="Z24" s="5" t="s">
        <v>276</v>
      </c>
      <c r="AA24" s="18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0.18617552574666041</v>
      </c>
      <c r="AJ24" s="19">
        <v>0</v>
      </c>
      <c r="AL24" s="3">
        <v>1</v>
      </c>
      <c r="AM24" s="3">
        <f>AM17*SIGN($AW17)</f>
        <v>0.30943176576903642</v>
      </c>
      <c r="AN24" s="3">
        <f t="shared" ref="AN24:AV24" si="32">AN17*SIGN($AW17)</f>
        <v>0.27238884516301004</v>
      </c>
      <c r="AO24" s="3">
        <f t="shared" si="32"/>
        <v>0.28730271833153681</v>
      </c>
      <c r="AP24" s="3">
        <f t="shared" si="32"/>
        <v>0.2989256097225354</v>
      </c>
      <c r="AQ24" s="3">
        <f t="shared" si="32"/>
        <v>0.27627927046943457</v>
      </c>
      <c r="AR24" s="3">
        <f t="shared" si="32"/>
        <v>0.34187639488590671</v>
      </c>
      <c r="AS24" s="3">
        <f t="shared" si="32"/>
        <v>0.35845327544528666</v>
      </c>
      <c r="AT24" s="3">
        <f t="shared" si="32"/>
        <v>0.36270764216794532</v>
      </c>
      <c r="AU24" s="3">
        <f t="shared" si="32"/>
        <v>0.34806790525818582</v>
      </c>
      <c r="AV24" s="3">
        <f t="shared" si="32"/>
        <v>0.28939656450712098</v>
      </c>
      <c r="AW24" s="3">
        <f>SUMPRODUCT(AM24:AV24,AM$21:AV$21)</f>
        <v>0.3144829991719999</v>
      </c>
      <c r="AZ24" s="3" t="s">
        <v>29</v>
      </c>
      <c r="BA24" s="3">
        <v>19</v>
      </c>
      <c r="BB24" s="3">
        <f t="shared" si="17"/>
        <v>0.98542963847978682</v>
      </c>
      <c r="BC24" s="3">
        <f t="shared" si="18"/>
        <v>0.98875060436200668</v>
      </c>
      <c r="BD24" s="3">
        <f t="shared" si="20"/>
        <v>1.0209163208928014</v>
      </c>
      <c r="BE24" s="3">
        <f t="shared" si="21"/>
        <v>1.0668787838643174</v>
      </c>
      <c r="BF24" s="3">
        <f t="shared" si="22"/>
        <v>0.97506103988606674</v>
      </c>
      <c r="BH24" s="3">
        <f t="shared" si="23"/>
        <v>-1.7904537620908902E-2</v>
      </c>
      <c r="BI24" s="3">
        <f t="shared" si="24"/>
        <v>-1.701116078473653E-2</v>
      </c>
      <c r="BJ24" s="3">
        <f t="shared" si="25"/>
        <v>-1.0720873937233651E-2</v>
      </c>
      <c r="BK24" s="3">
        <f t="shared" si="26"/>
        <v>-2.3690724982119646E-3</v>
      </c>
    </row>
    <row r="25" spans="1:63" x14ac:dyDescent="0.2">
      <c r="A25" s="3" t="s">
        <v>32</v>
      </c>
      <c r="B25" s="3">
        <v>75.25</v>
      </c>
      <c r="C25" s="3">
        <v>88.9</v>
      </c>
      <c r="D25" s="3">
        <v>14.8</v>
      </c>
      <c r="E25" s="3">
        <v>64.349999999999994</v>
      </c>
      <c r="F25" s="3">
        <v>54.85</v>
      </c>
      <c r="G25" s="3">
        <v>167.8</v>
      </c>
      <c r="H25" s="3">
        <v>36.954999999999998</v>
      </c>
      <c r="I25" s="3">
        <v>117.4</v>
      </c>
      <c r="J25" s="3">
        <v>10.68</v>
      </c>
      <c r="K25" s="3">
        <v>81.8</v>
      </c>
      <c r="L25" s="3">
        <v>25626.029297000001</v>
      </c>
      <c r="N25" s="3">
        <f t="shared" si="2"/>
        <v>7.2823890193403074E-3</v>
      </c>
      <c r="O25" s="3">
        <f t="shared" si="3"/>
        <v>-5.6258791919816531E-4</v>
      </c>
      <c r="P25" s="3">
        <f t="shared" si="4"/>
        <v>6.1298228379986774E-3</v>
      </c>
      <c r="Q25" s="3">
        <f t="shared" si="5"/>
        <v>8.5106896679087995E-3</v>
      </c>
      <c r="R25" s="3">
        <f t="shared" si="6"/>
        <v>0</v>
      </c>
      <c r="S25" s="3">
        <f t="shared" si="7"/>
        <v>5.3491955188160745E-3</v>
      </c>
      <c r="T25" s="3">
        <f t="shared" si="8"/>
        <v>1.3439256162996571E-2</v>
      </c>
      <c r="U25" s="3">
        <f t="shared" si="9"/>
        <v>6.7911975780017286E-3</v>
      </c>
      <c r="V25" s="3">
        <f t="shared" si="10"/>
        <v>1.4870162479451388E-2</v>
      </c>
      <c r="W25" s="3">
        <f t="shared" si="11"/>
        <v>7.3081933067244975E-3</v>
      </c>
      <c r="X25" s="3">
        <f t="shared" si="12"/>
        <v>8.1486218290454104E-3</v>
      </c>
      <c r="Z25" s="5" t="s">
        <v>277</v>
      </c>
      <c r="AA25" s="20">
        <v>0</v>
      </c>
      <c r="AB25" s="21">
        <v>0</v>
      </c>
      <c r="AC25" s="21">
        <v>0</v>
      </c>
      <c r="AD25" s="21">
        <v>0</v>
      </c>
      <c r="AE25" s="21">
        <v>0</v>
      </c>
      <c r="AF25" s="21">
        <v>0</v>
      </c>
      <c r="AG25" s="21">
        <v>0</v>
      </c>
      <c r="AH25" s="21">
        <v>0</v>
      </c>
      <c r="AI25" s="21">
        <v>0</v>
      </c>
      <c r="AJ25" s="22">
        <v>0.53714513275230236</v>
      </c>
      <c r="AL25" s="3">
        <v>2</v>
      </c>
      <c r="AM25" s="3">
        <f t="shared" ref="AM25:AV25" si="33">AM18*SIGN($AW18)</f>
        <v>-0.29379584576020928</v>
      </c>
      <c r="AN25" s="3">
        <f t="shared" si="33"/>
        <v>0.62604279763990445</v>
      </c>
      <c r="AO25" s="3">
        <f t="shared" si="33"/>
        <v>0.55828605318847813</v>
      </c>
      <c r="AP25" s="3">
        <f t="shared" si="33"/>
        <v>-0.11355579448402661</v>
      </c>
      <c r="AQ25" s="3">
        <f t="shared" si="33"/>
        <v>7.6836830057155185E-3</v>
      </c>
      <c r="AR25" s="3">
        <f t="shared" si="33"/>
        <v>0.12948964914049038</v>
      </c>
      <c r="AS25" s="3">
        <f t="shared" si="33"/>
        <v>-6.5273387846608161E-2</v>
      </c>
      <c r="AT25" s="3">
        <f t="shared" si="33"/>
        <v>-0.16778754565581402</v>
      </c>
      <c r="AU25" s="3">
        <f t="shared" si="33"/>
        <v>-0.22227313792553774</v>
      </c>
      <c r="AV25" s="3">
        <f t="shared" si="33"/>
        <v>-0.31389639881826931</v>
      </c>
      <c r="AW25" s="3">
        <f t="shared" ref="AW25:AW27" si="34">SUMPRODUCT(AM25:AV25,AM$21:AV$21)</f>
        <v>1.4492007248412327E-2</v>
      </c>
      <c r="AZ25" s="3" t="s">
        <v>30</v>
      </c>
      <c r="BA25" s="3">
        <v>20</v>
      </c>
      <c r="BB25" s="3">
        <f t="shared" si="17"/>
        <v>0.96794298877598384</v>
      </c>
      <c r="BC25" s="3">
        <f t="shared" si="18"/>
        <v>0.97207306319870801</v>
      </c>
      <c r="BD25" s="3">
        <f t="shared" si="20"/>
        <v>1.0100296672101121</v>
      </c>
      <c r="BE25" s="3">
        <f t="shared" si="21"/>
        <v>1.0643542622466471</v>
      </c>
      <c r="BF25" s="3">
        <f t="shared" si="22"/>
        <v>0.94807358914238826</v>
      </c>
      <c r="BH25" s="3">
        <f t="shared" si="23"/>
        <v>-1.4877822530770524E-4</v>
      </c>
      <c r="BI25" s="3">
        <f t="shared" si="24"/>
        <v>-9.1578952004585726E-4</v>
      </c>
      <c r="BJ25" s="3">
        <f t="shared" si="25"/>
        <v>8.1683757979470438E-4</v>
      </c>
      <c r="BK25" s="3">
        <f t="shared" si="26"/>
        <v>1.5916560170297425E-3</v>
      </c>
    </row>
    <row r="26" spans="1:63" x14ac:dyDescent="0.2">
      <c r="A26" s="3" t="s">
        <v>33</v>
      </c>
      <c r="B26" s="3">
        <v>75.8</v>
      </c>
      <c r="C26" s="3">
        <v>88.85</v>
      </c>
      <c r="D26" s="3">
        <v>14.891</v>
      </c>
      <c r="E26" s="3">
        <v>64.900000000000006</v>
      </c>
      <c r="F26" s="3">
        <v>54.85</v>
      </c>
      <c r="G26" s="3">
        <v>168.7</v>
      </c>
      <c r="H26" s="3">
        <v>37.454999999999998</v>
      </c>
      <c r="I26" s="3">
        <v>118.2</v>
      </c>
      <c r="J26" s="3">
        <v>10.84</v>
      </c>
      <c r="K26" s="3">
        <v>82.4</v>
      </c>
      <c r="L26" s="3">
        <v>25835.699218999998</v>
      </c>
      <c r="N26" s="3">
        <f t="shared" si="2"/>
        <v>2.024228437074882E-2</v>
      </c>
      <c r="O26" s="3">
        <f t="shared" si="3"/>
        <v>1.1748386876914374E-2</v>
      </c>
      <c r="P26" s="3">
        <f t="shared" si="4"/>
        <v>3.6197921278331435E-3</v>
      </c>
      <c r="Q26" s="3">
        <f t="shared" si="5"/>
        <v>-2.313923130397022E-3</v>
      </c>
      <c r="R26" s="3">
        <f t="shared" si="6"/>
        <v>2.7309985112315971E-3</v>
      </c>
      <c r="S26" s="3">
        <f t="shared" si="7"/>
        <v>1.1199645505656441E-2</v>
      </c>
      <c r="T26" s="3">
        <f t="shared" si="8"/>
        <v>9.6449673591814111E-3</v>
      </c>
      <c r="U26" s="3">
        <f t="shared" si="9"/>
        <v>1.0938266399567631E-2</v>
      </c>
      <c r="V26" s="3">
        <f t="shared" si="10"/>
        <v>3.0883471715453137E-2</v>
      </c>
      <c r="W26" s="3">
        <f t="shared" si="11"/>
        <v>9.6619109117366264E-3</v>
      </c>
      <c r="X26" s="3">
        <f t="shared" si="12"/>
        <v>1.5373863868806126E-3</v>
      </c>
      <c r="AL26" s="3">
        <v>3</v>
      </c>
      <c r="AM26" s="3">
        <f t="shared" ref="AM26:AV26" si="35">AM19*SIGN($AW19)</f>
        <v>-5.4543042181097449E-2</v>
      </c>
      <c r="AN26" s="3">
        <f t="shared" si="35"/>
        <v>8.5877739848753465E-2</v>
      </c>
      <c r="AO26" s="3">
        <f t="shared" si="35"/>
        <v>6.6216471030159776E-2</v>
      </c>
      <c r="AP26" s="3">
        <f t="shared" si="35"/>
        <v>-0.6842174685245529</v>
      </c>
      <c r="AQ26" s="3">
        <f t="shared" si="35"/>
        <v>0.45075786111268101</v>
      </c>
      <c r="AR26" s="3">
        <f t="shared" si="35"/>
        <v>-0.44989424922149368</v>
      </c>
      <c r="AS26" s="3">
        <f t="shared" si="35"/>
        <v>6.1686027597552137E-2</v>
      </c>
      <c r="AT26" s="3">
        <f t="shared" si="35"/>
        <v>0.16772172850664654</v>
      </c>
      <c r="AU26" s="3">
        <f t="shared" si="35"/>
        <v>0.24756342236273765</v>
      </c>
      <c r="AV26" s="3">
        <f t="shared" si="35"/>
        <v>0.13528129188782986</v>
      </c>
      <c r="AW26" s="3">
        <f t="shared" si="34"/>
        <v>2.6449782419216399E-3</v>
      </c>
      <c r="AZ26" s="3" t="s">
        <v>31</v>
      </c>
      <c r="BA26" s="3">
        <v>21</v>
      </c>
      <c r="BB26" s="3">
        <f t="shared" si="17"/>
        <v>0.96779899064807329</v>
      </c>
      <c r="BC26" s="3">
        <f t="shared" si="18"/>
        <v>0.97118325637478176</v>
      </c>
      <c r="BD26" s="3">
        <f t="shared" si="20"/>
        <v>1.0108550344485936</v>
      </c>
      <c r="BE26" s="3">
        <f t="shared" si="21"/>
        <v>1.0660496970289595</v>
      </c>
      <c r="BF26" s="3">
        <f t="shared" si="22"/>
        <v>0.94558402576702161</v>
      </c>
      <c r="BH26" s="3">
        <f t="shared" si="23"/>
        <v>2.6037675264656994E-2</v>
      </c>
      <c r="BI26" s="3">
        <f t="shared" si="24"/>
        <v>2.3427839635246764E-2</v>
      </c>
      <c r="BJ26" s="3">
        <f t="shared" si="25"/>
        <v>1.8999289673146458E-2</v>
      </c>
      <c r="BK26" s="3">
        <f t="shared" si="26"/>
        <v>9.7983074004064918E-3</v>
      </c>
    </row>
    <row r="27" spans="1:63" x14ac:dyDescent="0.2">
      <c r="A27" s="3" t="s">
        <v>34</v>
      </c>
      <c r="B27" s="3">
        <v>77.349999999999994</v>
      </c>
      <c r="C27" s="3">
        <v>89.9</v>
      </c>
      <c r="D27" s="3">
        <v>14.945</v>
      </c>
      <c r="E27" s="3">
        <v>64.75</v>
      </c>
      <c r="F27" s="3">
        <v>55</v>
      </c>
      <c r="G27" s="3">
        <v>170.6</v>
      </c>
      <c r="H27" s="3">
        <v>37.817999999999998</v>
      </c>
      <c r="I27" s="3">
        <v>119.5</v>
      </c>
      <c r="J27" s="3">
        <v>11.18</v>
      </c>
      <c r="K27" s="3">
        <v>83.2</v>
      </c>
      <c r="L27" s="3">
        <v>25875.449218999998</v>
      </c>
      <c r="N27" s="3">
        <f t="shared" si="2"/>
        <v>1.937359340226763E-3</v>
      </c>
      <c r="O27" s="3">
        <f t="shared" si="3"/>
        <v>6.0992703637294809E-3</v>
      </c>
      <c r="P27" s="3">
        <f t="shared" si="4"/>
        <v>1.2104430844161129E-2</v>
      </c>
      <c r="Q27" s="3">
        <f t="shared" si="5"/>
        <v>1.1516442061559218E-2</v>
      </c>
      <c r="R27" s="3">
        <f t="shared" si="6"/>
        <v>9.9503308531678769E-3</v>
      </c>
      <c r="S27" s="3">
        <f t="shared" si="7"/>
        <v>2.3176008347922661E-2</v>
      </c>
      <c r="T27" s="3">
        <f t="shared" si="8"/>
        <v>9.5790206134398481E-3</v>
      </c>
      <c r="U27" s="3">
        <f t="shared" si="9"/>
        <v>4.1753714104801887E-3</v>
      </c>
      <c r="V27" s="3">
        <f t="shared" si="10"/>
        <v>5.3523767385916798E-3</v>
      </c>
      <c r="W27" s="3">
        <f t="shared" si="11"/>
        <v>3.3099948426344561E-2</v>
      </c>
      <c r="X27" s="3">
        <f t="shared" si="12"/>
        <v>2.2427233631972854E-2</v>
      </c>
      <c r="Z27" s="3" t="s">
        <v>256</v>
      </c>
      <c r="AL27" s="3">
        <v>4</v>
      </c>
      <c r="AM27" s="3">
        <f t="shared" ref="AM27:AV27" si="36">AM20*SIGN($AW20)</f>
        <v>0.33993195911457524</v>
      </c>
      <c r="AN27" s="3">
        <f t="shared" si="36"/>
        <v>-5.6741389591666754E-2</v>
      </c>
      <c r="AO27" s="3">
        <f t="shared" si="36"/>
        <v>-7.2293500297846536E-2</v>
      </c>
      <c r="AP27" s="3">
        <f t="shared" si="36"/>
        <v>0.21726870665996928</v>
      </c>
      <c r="AQ27" s="3">
        <f t="shared" si="36"/>
        <v>0.75430659188936255</v>
      </c>
      <c r="AR27" s="3">
        <f t="shared" si="36"/>
        <v>1.4127832457715052E-2</v>
      </c>
      <c r="AS27" s="3">
        <f t="shared" si="36"/>
        <v>-0.25603360522017066</v>
      </c>
      <c r="AT27" s="3">
        <f t="shared" si="36"/>
        <v>-0.26778032608286328</v>
      </c>
      <c r="AU27" s="3">
        <f t="shared" si="36"/>
        <v>-0.26067012979622434</v>
      </c>
      <c r="AV27" s="3">
        <f t="shared" si="36"/>
        <v>-0.23325561081346197</v>
      </c>
      <c r="AW27" s="3">
        <f t="shared" si="34"/>
        <v>1.7886052831938854E-2</v>
      </c>
      <c r="AZ27" s="3" t="s">
        <v>32</v>
      </c>
      <c r="BA27" s="3">
        <v>22</v>
      </c>
      <c r="BB27" s="3">
        <f t="shared" si="17"/>
        <v>0.99332915722730397</v>
      </c>
      <c r="BC27" s="3">
        <f t="shared" si="18"/>
        <v>0.99420459916990389</v>
      </c>
      <c r="BD27" s="3">
        <f t="shared" si="20"/>
        <v>1.0302441687121657</v>
      </c>
      <c r="BE27" s="3">
        <f t="shared" si="21"/>
        <v>1.0765465212392979</v>
      </c>
      <c r="BF27" s="3">
        <f t="shared" si="22"/>
        <v>0.9667737197883558</v>
      </c>
      <c r="BH27" s="3">
        <f t="shared" si="23"/>
        <v>6.8917784178300669E-3</v>
      </c>
      <c r="BI27" s="3">
        <f t="shared" si="24"/>
        <v>6.0554886606213505E-3</v>
      </c>
      <c r="BJ27" s="3">
        <f t="shared" si="25"/>
        <v>2.1005485472699661E-3</v>
      </c>
      <c r="BK27" s="3">
        <f t="shared" si="26"/>
        <v>-4.3486669618034018E-3</v>
      </c>
    </row>
    <row r="28" spans="1:63" x14ac:dyDescent="0.2">
      <c r="A28" s="3" t="s">
        <v>35</v>
      </c>
      <c r="B28" s="3">
        <v>77.5</v>
      </c>
      <c r="C28" s="3">
        <v>90.45</v>
      </c>
      <c r="D28" s="3">
        <v>15.127000000000001</v>
      </c>
      <c r="E28" s="3">
        <v>65.5</v>
      </c>
      <c r="F28" s="3">
        <v>55.55</v>
      </c>
      <c r="G28" s="3">
        <v>174.6</v>
      </c>
      <c r="H28" s="3">
        <v>38.182000000000002</v>
      </c>
      <c r="I28" s="3">
        <v>120</v>
      </c>
      <c r="J28" s="3">
        <v>11.24</v>
      </c>
      <c r="K28" s="3">
        <v>86</v>
      </c>
      <c r="L28" s="3">
        <v>26462.320313</v>
      </c>
      <c r="N28" s="3">
        <f t="shared" si="2"/>
        <v>-5.174655790018079E-3</v>
      </c>
      <c r="O28" s="3">
        <f t="shared" si="3"/>
        <v>2.2087253595559631E-3</v>
      </c>
      <c r="P28" s="3">
        <f t="shared" si="4"/>
        <v>-3.5761627516701644E-3</v>
      </c>
      <c r="Q28" s="3">
        <f t="shared" si="5"/>
        <v>-1.0744539282978138E-2</v>
      </c>
      <c r="R28" s="3">
        <f t="shared" si="6"/>
        <v>-2.0919362223742244E-2</v>
      </c>
      <c r="S28" s="3">
        <f t="shared" si="7"/>
        <v>-5.7438411792514188E-3</v>
      </c>
      <c r="T28" s="3">
        <f t="shared" si="8"/>
        <v>1.1778718528621113E-3</v>
      </c>
      <c r="U28" s="3">
        <f t="shared" si="9"/>
        <v>6.6445427186687667E-3</v>
      </c>
      <c r="V28" s="3">
        <f t="shared" si="10"/>
        <v>1.7777782459993396E-3</v>
      </c>
      <c r="W28" s="3">
        <f t="shared" si="11"/>
        <v>1.5575740326558396E-2</v>
      </c>
      <c r="X28" s="3">
        <f t="shared" si="12"/>
        <v>2.2312274809266341E-3</v>
      </c>
      <c r="Z28" s="5"/>
      <c r="AA28" s="5">
        <v>1</v>
      </c>
      <c r="AB28" s="5">
        <v>2</v>
      </c>
      <c r="AC28" s="5">
        <v>3</v>
      </c>
      <c r="AD28" s="5">
        <v>4</v>
      </c>
      <c r="AE28" s="5">
        <v>5</v>
      </c>
      <c r="AF28" s="5">
        <v>6</v>
      </c>
      <c r="AG28" s="5">
        <v>7</v>
      </c>
      <c r="AH28" s="5">
        <v>8</v>
      </c>
      <c r="AI28" s="5">
        <v>9</v>
      </c>
      <c r="AJ28" s="5">
        <v>10</v>
      </c>
      <c r="AL28" s="7" t="s">
        <v>284</v>
      </c>
      <c r="AM28" s="3">
        <f>SUM(AM24:AM27)/4</f>
        <v>7.525620923557623E-2</v>
      </c>
      <c r="AN28" s="3">
        <f t="shared" ref="AN28:AV28" si="37">SUM(AN24:AN27)/4</f>
        <v>0.23189199826500029</v>
      </c>
      <c r="AO28" s="3">
        <f t="shared" si="37"/>
        <v>0.20987793556308207</v>
      </c>
      <c r="AP28" s="3">
        <f t="shared" si="37"/>
        <v>-7.03947366565187E-2</v>
      </c>
      <c r="AQ28" s="3">
        <f t="shared" si="37"/>
        <v>0.37225685161929845</v>
      </c>
      <c r="AR28" s="3">
        <f t="shared" si="37"/>
        <v>8.8999068156546159E-3</v>
      </c>
      <c r="AS28" s="3">
        <f t="shared" si="37"/>
        <v>2.4708077494015004E-2</v>
      </c>
      <c r="AT28" s="3">
        <f t="shared" si="37"/>
        <v>2.3715374733978639E-2</v>
      </c>
      <c r="AU28" s="3">
        <f t="shared" si="37"/>
        <v>2.8172014974790341E-2</v>
      </c>
      <c r="AV28" s="3">
        <f t="shared" si="37"/>
        <v>-3.0618538309195108E-2</v>
      </c>
      <c r="AW28" s="6"/>
      <c r="AZ28" s="3" t="s">
        <v>33</v>
      </c>
      <c r="BA28" s="3">
        <v>23</v>
      </c>
      <c r="BB28" s="3">
        <f t="shared" si="17"/>
        <v>1.0001986058441392</v>
      </c>
      <c r="BC28" s="3">
        <f t="shared" si="18"/>
        <v>1.0002432589117163</v>
      </c>
      <c r="BD28" s="3">
        <f t="shared" si="20"/>
        <v>1.0324105210716878</v>
      </c>
      <c r="BE28" s="3">
        <f t="shared" si="21"/>
        <v>1.0718751434443443</v>
      </c>
      <c r="BF28" s="3">
        <f t="shared" si="22"/>
        <v>0.97468377749063906</v>
      </c>
      <c r="BH28" s="3">
        <f t="shared" si="23"/>
        <v>1.0854268091567115E-2</v>
      </c>
      <c r="BI28" s="3">
        <f t="shared" si="24"/>
        <v>9.3786450620849428E-3</v>
      </c>
      <c r="BJ28" s="3">
        <f t="shared" si="25"/>
        <v>8.2724213530882759E-3</v>
      </c>
      <c r="BK28" s="3">
        <f t="shared" si="26"/>
        <v>4.571565762211599E-3</v>
      </c>
    </row>
    <row r="29" spans="1:63" x14ac:dyDescent="0.2">
      <c r="A29" s="3" t="s">
        <v>36</v>
      </c>
      <c r="B29" s="3">
        <v>77.099999999999994</v>
      </c>
      <c r="C29" s="3">
        <v>90.65</v>
      </c>
      <c r="D29" s="3">
        <v>15.073</v>
      </c>
      <c r="E29" s="3">
        <v>64.8</v>
      </c>
      <c r="F29" s="3">
        <v>54.4</v>
      </c>
      <c r="G29" s="3">
        <v>173.6</v>
      </c>
      <c r="H29" s="3">
        <v>38.226999999999997</v>
      </c>
      <c r="I29" s="3">
        <v>120.8</v>
      </c>
      <c r="J29" s="3">
        <v>11.26</v>
      </c>
      <c r="K29" s="3">
        <v>87.35</v>
      </c>
      <c r="L29" s="3">
        <v>26521.429688</v>
      </c>
      <c r="N29" s="3">
        <f t="shared" si="2"/>
        <v>9.6806177107238156E-3</v>
      </c>
      <c r="O29" s="3">
        <f t="shared" si="3"/>
        <v>3.8535693159893469E-3</v>
      </c>
      <c r="P29" s="3">
        <f t="shared" si="4"/>
        <v>4.7653806508085594E-3</v>
      </c>
      <c r="Q29" s="3">
        <f t="shared" si="5"/>
        <v>9.2166551049244205E-3</v>
      </c>
      <c r="R29" s="3">
        <f t="shared" si="6"/>
        <v>4.5850607606507943E-3</v>
      </c>
      <c r="S29" s="3">
        <f t="shared" si="7"/>
        <v>8.0321716972644452E-3</v>
      </c>
      <c r="T29" s="3">
        <f t="shared" si="8"/>
        <v>8.2843176858959922E-3</v>
      </c>
      <c r="U29" s="3">
        <f t="shared" si="9"/>
        <v>9.8847592325421729E-3</v>
      </c>
      <c r="V29" s="3">
        <f t="shared" si="10"/>
        <v>1.0600805986640705E-2</v>
      </c>
      <c r="W29" s="3">
        <f t="shared" si="11"/>
        <v>5.7224608142369959E-4</v>
      </c>
      <c r="X29" s="3">
        <f t="shared" si="12"/>
        <v>5.4838794942266844E-3</v>
      </c>
      <c r="Z29" s="5" t="s">
        <v>268</v>
      </c>
      <c r="AA29" s="15">
        <f t="array" ref="AA29:AJ38">eigenvector(AA3:AJ12)</f>
        <v>0.30943176576903636</v>
      </c>
      <c r="AB29" s="16">
        <v>0.29379584576020867</v>
      </c>
      <c r="AC29" s="16">
        <v>5.4543042181097665E-2</v>
      </c>
      <c r="AD29" s="16">
        <v>0.33993195911457524</v>
      </c>
      <c r="AE29" s="16">
        <v>0.60653066620466145</v>
      </c>
      <c r="AF29" s="16">
        <v>-0.12933161408732066</v>
      </c>
      <c r="AG29" s="16">
        <v>0.53877469739291473</v>
      </c>
      <c r="AH29" s="16">
        <v>7.4849251342142237E-2</v>
      </c>
      <c r="AI29" s="16">
        <v>3.9696854801139709E-3</v>
      </c>
      <c r="AJ29" s="17">
        <v>-0.13749488805056886</v>
      </c>
      <c r="AL29" s="7" t="s">
        <v>7</v>
      </c>
      <c r="AM29" s="3">
        <v>81.8</v>
      </c>
      <c r="AN29" s="3">
        <v>86.25</v>
      </c>
      <c r="AO29" s="3">
        <v>14.345000000000001</v>
      </c>
      <c r="AP29" s="3">
        <v>66.900000000000006</v>
      </c>
      <c r="AQ29" s="3">
        <v>53</v>
      </c>
      <c r="AR29" s="3">
        <v>180.6</v>
      </c>
      <c r="AS29" s="3">
        <v>36.545000000000002</v>
      </c>
      <c r="AT29" s="3">
        <v>111.5</v>
      </c>
      <c r="AU29" s="3">
        <v>10.52</v>
      </c>
      <c r="AV29" s="3">
        <v>86.5</v>
      </c>
      <c r="AW29" s="6"/>
      <c r="AZ29" s="3" t="s">
        <v>34</v>
      </c>
      <c r="BA29" s="3">
        <v>24</v>
      </c>
      <c r="BB29" s="3">
        <f t="shared" si="17"/>
        <v>1.0111141626789697</v>
      </c>
      <c r="BC29" s="3">
        <f t="shared" si="18"/>
        <v>1.0096683134486388</v>
      </c>
      <c r="BD29" s="3">
        <f t="shared" si="20"/>
        <v>1.0409864789735335</v>
      </c>
      <c r="BE29" s="3">
        <f t="shared" si="21"/>
        <v>1.0767865089129545</v>
      </c>
      <c r="BF29" s="3">
        <f t="shared" si="22"/>
        <v>0.97618339551246369</v>
      </c>
      <c r="BH29" s="3">
        <f t="shared" si="23"/>
        <v>1.1519857738525584E-2</v>
      </c>
      <c r="BI29" s="3">
        <f t="shared" si="24"/>
        <v>1.1415376431062567E-2</v>
      </c>
      <c r="BJ29" s="3">
        <f t="shared" si="25"/>
        <v>7.7455269827553797E-3</v>
      </c>
      <c r="BK29" s="3">
        <f t="shared" si="26"/>
        <v>3.0109443484159087E-3</v>
      </c>
    </row>
    <row r="30" spans="1:63" x14ac:dyDescent="0.2">
      <c r="A30" s="3" t="s">
        <v>37</v>
      </c>
      <c r="B30" s="3">
        <v>77.849999999999994</v>
      </c>
      <c r="C30" s="3">
        <v>91</v>
      </c>
      <c r="D30" s="3">
        <v>15.145</v>
      </c>
      <c r="E30" s="3">
        <v>65.400000000000006</v>
      </c>
      <c r="F30" s="3">
        <v>54.65</v>
      </c>
      <c r="G30" s="3">
        <v>175</v>
      </c>
      <c r="H30" s="3">
        <v>38.545000000000002</v>
      </c>
      <c r="I30" s="3">
        <v>122</v>
      </c>
      <c r="J30" s="3">
        <v>11.38</v>
      </c>
      <c r="K30" s="3">
        <v>87.4</v>
      </c>
      <c r="L30" s="3">
        <v>26667.269531000002</v>
      </c>
      <c r="N30" s="3">
        <f t="shared" si="2"/>
        <v>-1.8146965904935364E-2</v>
      </c>
      <c r="O30" s="3">
        <f t="shared" si="3"/>
        <v>-5.496015527182152E-4</v>
      </c>
      <c r="P30" s="3">
        <f t="shared" si="4"/>
        <v>-2.3798517214967951E-3</v>
      </c>
      <c r="Q30" s="3">
        <f t="shared" si="5"/>
        <v>-1.3082141170501771E-2</v>
      </c>
      <c r="R30" s="3">
        <f t="shared" si="6"/>
        <v>-1.0115028770111945E-2</v>
      </c>
      <c r="S30" s="3">
        <f t="shared" si="7"/>
        <v>-1.3229988770881995E-2</v>
      </c>
      <c r="T30" s="3">
        <f t="shared" si="8"/>
        <v>0</v>
      </c>
      <c r="U30" s="3">
        <f t="shared" si="9"/>
        <v>-1.1541760440171522E-2</v>
      </c>
      <c r="V30" s="3">
        <f t="shared" si="10"/>
        <v>-7.0547029798899707E-3</v>
      </c>
      <c r="W30" s="3">
        <f t="shared" si="11"/>
        <v>-1.7177215789532241E-3</v>
      </c>
      <c r="X30" s="3">
        <f t="shared" si="12"/>
        <v>-1.3931511127990959E-2</v>
      </c>
      <c r="Z30" s="5" t="s">
        <v>269</v>
      </c>
      <c r="AA30" s="18">
        <v>0.27238884516301004</v>
      </c>
      <c r="AB30" s="3">
        <v>-0.62604279763990445</v>
      </c>
      <c r="AC30" s="3">
        <v>-8.587773984875352E-2</v>
      </c>
      <c r="AD30" s="3">
        <v>-5.6741389591666754E-2</v>
      </c>
      <c r="AE30" s="3">
        <v>-0.31045806500273671</v>
      </c>
      <c r="AF30" s="3">
        <v>-0.18948519399784042</v>
      </c>
      <c r="AG30" s="3">
        <v>0.56470231067954679</v>
      </c>
      <c r="AH30" s="3">
        <v>7.5623248844533808E-2</v>
      </c>
      <c r="AI30" s="3">
        <v>0.19428388505687183</v>
      </c>
      <c r="AJ30" s="19">
        <v>0.16922620584467354</v>
      </c>
      <c r="AL30" s="7" t="s">
        <v>261</v>
      </c>
      <c r="AM30" s="3">
        <f>AM28/AM29</f>
        <v>9.2000255789213001E-4</v>
      </c>
      <c r="AN30" s="3">
        <f t="shared" ref="AN30" si="38">AN28/AN29</f>
        <v>2.6886028784347859E-3</v>
      </c>
      <c r="AO30" s="3">
        <f t="shared" ref="AO30" si="39">AO28/AO29</f>
        <v>1.4630737927018618E-2</v>
      </c>
      <c r="AP30" s="3">
        <f t="shared" ref="AP30" si="40">AP28/AP29</f>
        <v>-1.0522382160914603E-3</v>
      </c>
      <c r="AQ30" s="3">
        <f t="shared" ref="AQ30" si="41">AQ28/AQ29</f>
        <v>7.0237141814961969E-3</v>
      </c>
      <c r="AR30" s="3">
        <f t="shared" ref="AR30" si="42">AR28/AR29</f>
        <v>4.9279661216249262E-5</v>
      </c>
      <c r="AS30" s="3">
        <f t="shared" ref="AS30" si="43">AS28/AS29</f>
        <v>6.761000819268027E-4</v>
      </c>
      <c r="AT30" s="3">
        <f t="shared" ref="AT30" si="44">AT28/AT29</f>
        <v>2.1269394380249901E-4</v>
      </c>
      <c r="AU30" s="3">
        <f t="shared" ref="AU30" si="45">AU28/AU29</f>
        <v>2.6779481915199946E-3</v>
      </c>
      <c r="AV30" s="3">
        <f t="shared" ref="AV30" si="46">AV28/AV29</f>
        <v>-3.5397154114676424E-4</v>
      </c>
      <c r="AW30" s="6"/>
      <c r="AZ30" s="3" t="s">
        <v>35</v>
      </c>
      <c r="BA30" s="3">
        <v>25</v>
      </c>
      <c r="BB30" s="3">
        <f t="shared" si="17"/>
        <v>1.0228294033858945</v>
      </c>
      <c r="BC30" s="3">
        <f t="shared" si="18"/>
        <v>1.0212600937071581</v>
      </c>
      <c r="BD30" s="3">
        <f t="shared" si="20"/>
        <v>1.0490807746610904</v>
      </c>
      <c r="BE30" s="3">
        <f t="shared" si="21"/>
        <v>1.0800335390268287</v>
      </c>
      <c r="BF30" s="3">
        <f t="shared" si="22"/>
        <v>0.9983238349854282</v>
      </c>
      <c r="BH30" s="3">
        <f t="shared" si="23"/>
        <v>-1.7731058556977874E-3</v>
      </c>
      <c r="BI30" s="3">
        <f t="shared" si="24"/>
        <v>-3.5105917258501165E-3</v>
      </c>
      <c r="BJ30" s="3">
        <f t="shared" si="25"/>
        <v>-9.0233472087153169E-3</v>
      </c>
      <c r="BK30" s="3">
        <f t="shared" si="26"/>
        <v>-1.973614722383199E-2</v>
      </c>
    </row>
    <row r="31" spans="1:63" x14ac:dyDescent="0.2">
      <c r="A31" s="3" t="s">
        <v>38</v>
      </c>
      <c r="B31" s="3">
        <v>76.45</v>
      </c>
      <c r="C31" s="3">
        <v>90.95</v>
      </c>
      <c r="D31" s="3">
        <v>15.109</v>
      </c>
      <c r="E31" s="3">
        <v>64.55</v>
      </c>
      <c r="F31" s="3">
        <v>54.1</v>
      </c>
      <c r="G31" s="3">
        <v>172.7</v>
      </c>
      <c r="H31" s="3">
        <v>38.545000000000002</v>
      </c>
      <c r="I31" s="3">
        <v>120.6</v>
      </c>
      <c r="J31" s="3">
        <v>11.3</v>
      </c>
      <c r="K31" s="3">
        <v>87.25</v>
      </c>
      <c r="L31" s="3">
        <v>26298.330077999999</v>
      </c>
      <c r="N31" s="3">
        <f t="shared" si="2"/>
        <v>2.3271897045191281E-2</v>
      </c>
      <c r="O31" s="3">
        <f t="shared" si="3"/>
        <v>6.5753661563885402E-3</v>
      </c>
      <c r="P31" s="3">
        <f t="shared" si="4"/>
        <v>8.3704558586537026E-3</v>
      </c>
      <c r="Q31" s="3">
        <f t="shared" si="5"/>
        <v>8.4844319218726483E-3</v>
      </c>
      <c r="R31" s="3">
        <f t="shared" si="6"/>
        <v>2.7688065681332752E-3</v>
      </c>
      <c r="S31" s="3">
        <f t="shared" si="7"/>
        <v>1.3229988770881995E-2</v>
      </c>
      <c r="T31" s="3">
        <f t="shared" si="8"/>
        <v>1.4065871556702803E-2</v>
      </c>
      <c r="U31" s="3">
        <f t="shared" si="9"/>
        <v>2.5379995105357267E-2</v>
      </c>
      <c r="V31" s="3">
        <f t="shared" si="10"/>
        <v>1.7544309650909362E-2</v>
      </c>
      <c r="W31" s="3">
        <f t="shared" si="11"/>
        <v>1.0829401930209315E-2</v>
      </c>
      <c r="X31" s="3">
        <f t="shared" si="12"/>
        <v>2.0025996217288622E-2</v>
      </c>
      <c r="Z31" s="5" t="s">
        <v>270</v>
      </c>
      <c r="AA31" s="18">
        <v>0.28730271833153675</v>
      </c>
      <c r="AB31" s="3">
        <v>-0.55828605318847824</v>
      </c>
      <c r="AC31" s="3">
        <v>-6.6216471030159804E-2</v>
      </c>
      <c r="AD31" s="3">
        <v>-7.2293500297846536E-2</v>
      </c>
      <c r="AE31" s="3">
        <v>0.55604804236940997</v>
      </c>
      <c r="AF31" s="3">
        <v>-5.5802215146120965E-2</v>
      </c>
      <c r="AG31" s="3">
        <v>-0.48289979898987312</v>
      </c>
      <c r="AH31" s="3">
        <v>0.21093507294847594</v>
      </c>
      <c r="AI31" s="3">
        <v>-7.4306136231538394E-2</v>
      </c>
      <c r="AJ31" s="19">
        <v>-2.5540639177058375E-2</v>
      </c>
      <c r="AZ31" s="3" t="s">
        <v>36</v>
      </c>
      <c r="BA31" s="3">
        <v>26</v>
      </c>
      <c r="BB31" s="3">
        <f t="shared" si="17"/>
        <v>1.021017425470421</v>
      </c>
      <c r="BC31" s="3">
        <f t="shared" si="18"/>
        <v>1.0176811522490319</v>
      </c>
      <c r="BD31" s="3">
        <f t="shared" si="20"/>
        <v>1.0396571349079995</v>
      </c>
      <c r="BE31" s="3">
        <f t="shared" si="21"/>
        <v>1.0589268060013257</v>
      </c>
      <c r="BF31" s="3">
        <f t="shared" si="22"/>
        <v>1.000553809425901</v>
      </c>
      <c r="BH31" s="3">
        <f t="shared" si="23"/>
        <v>6.9426385298119522E-3</v>
      </c>
      <c r="BI31" s="3">
        <f t="shared" si="24"/>
        <v>6.6504232595979915E-3</v>
      </c>
      <c r="BJ31" s="3">
        <f t="shared" si="25"/>
        <v>5.1078140384191659E-3</v>
      </c>
      <c r="BK31" s="3">
        <f t="shared" si="26"/>
        <v>2.5068193974837269E-3</v>
      </c>
    </row>
    <row r="32" spans="1:63" x14ac:dyDescent="0.2">
      <c r="A32" s="3" t="s">
        <v>39</v>
      </c>
      <c r="B32" s="3">
        <v>78.25</v>
      </c>
      <c r="C32" s="3">
        <v>91.55</v>
      </c>
      <c r="D32" s="3">
        <v>15.236000000000001</v>
      </c>
      <c r="E32" s="3">
        <v>65.099999999999994</v>
      </c>
      <c r="F32" s="3">
        <v>54.25</v>
      </c>
      <c r="G32" s="3">
        <v>175</v>
      </c>
      <c r="H32" s="3">
        <v>39.091000000000001</v>
      </c>
      <c r="I32" s="3">
        <v>123.7</v>
      </c>
      <c r="J32" s="3">
        <v>11.5</v>
      </c>
      <c r="K32" s="3">
        <v>88.2</v>
      </c>
      <c r="L32" s="3">
        <v>26830.289063</v>
      </c>
      <c r="N32" s="3">
        <f t="shared" si="2"/>
        <v>3.826535281366894E-3</v>
      </c>
      <c r="O32" s="3">
        <f t="shared" si="3"/>
        <v>-2.7344835195970418E-3</v>
      </c>
      <c r="P32" s="3">
        <f t="shared" si="4"/>
        <v>-2.3656207641269411E-3</v>
      </c>
      <c r="Q32" s="3">
        <f t="shared" si="5"/>
        <v>7.6775435633003042E-4</v>
      </c>
      <c r="R32" s="3">
        <f t="shared" si="6"/>
        <v>3.6798569584006735E-3</v>
      </c>
      <c r="S32" s="3">
        <f t="shared" si="7"/>
        <v>2.8530689824064481E-3</v>
      </c>
      <c r="T32" s="3">
        <f t="shared" si="8"/>
        <v>2.3251961979120495E-3</v>
      </c>
      <c r="U32" s="3">
        <f t="shared" si="9"/>
        <v>-1.6181233304104481E-3</v>
      </c>
      <c r="V32" s="3">
        <f t="shared" si="10"/>
        <v>1.0380716054561034E-2</v>
      </c>
      <c r="W32" s="3">
        <f t="shared" si="11"/>
        <v>1.5748356968138921E-2</v>
      </c>
      <c r="X32" s="3">
        <f t="shared" si="12"/>
        <v>2.6728976890204592E-3</v>
      </c>
      <c r="Z32" s="5" t="s">
        <v>271</v>
      </c>
      <c r="AA32" s="18">
        <v>0.29892560972253546</v>
      </c>
      <c r="AB32" s="3">
        <v>0.11355579448402667</v>
      </c>
      <c r="AC32" s="3">
        <v>0.6842174685245529</v>
      </c>
      <c r="AD32" s="3">
        <v>0.21726870665996928</v>
      </c>
      <c r="AE32" s="3">
        <v>-0.27851205945066021</v>
      </c>
      <c r="AF32" s="3">
        <v>-0.35214199960013115</v>
      </c>
      <c r="AG32" s="3">
        <v>-0.25670275177241059</v>
      </c>
      <c r="AH32" s="3">
        <v>0.29367544603325912</v>
      </c>
      <c r="AI32" s="3">
        <v>0.16870939929355705</v>
      </c>
      <c r="AJ32" s="19">
        <v>-1.455813659392243E-2</v>
      </c>
      <c r="AL32" s="13" t="s">
        <v>285</v>
      </c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Z32" s="3" t="s">
        <v>37</v>
      </c>
      <c r="BA32" s="3">
        <v>27</v>
      </c>
      <c r="BB32" s="3">
        <f t="shared" si="17"/>
        <v>1.0281306440693179</v>
      </c>
      <c r="BC32" s="3">
        <f t="shared" si="18"/>
        <v>1.0244717176941789</v>
      </c>
      <c r="BD32" s="3">
        <f t="shared" si="20"/>
        <v>1.0449810955421908</v>
      </c>
      <c r="BE32" s="3">
        <f t="shared" si="21"/>
        <v>1.0615846742651165</v>
      </c>
      <c r="BF32" s="3">
        <f t="shared" si="22"/>
        <v>1.0060557982777971</v>
      </c>
      <c r="BH32" s="3">
        <f t="shared" si="23"/>
        <v>-7.6073887537402227E-3</v>
      </c>
      <c r="BI32" s="3">
        <f t="shared" si="24"/>
        <v>-7.776848731659701E-3</v>
      </c>
      <c r="BJ32" s="3">
        <f t="shared" si="25"/>
        <v>-6.0308837525459222E-3</v>
      </c>
      <c r="BK32" s="3">
        <f t="shared" si="26"/>
        <v>-4.6788894635437714E-3</v>
      </c>
    </row>
    <row r="33" spans="1:63" x14ac:dyDescent="0.2">
      <c r="A33" s="3" t="s">
        <v>40</v>
      </c>
      <c r="B33" s="3">
        <v>78.55</v>
      </c>
      <c r="C33" s="3">
        <v>91.3</v>
      </c>
      <c r="D33" s="3">
        <v>15.2</v>
      </c>
      <c r="E33" s="3">
        <v>65.150000000000006</v>
      </c>
      <c r="F33" s="3">
        <v>54.45</v>
      </c>
      <c r="G33" s="3">
        <v>175.5</v>
      </c>
      <c r="H33" s="3">
        <v>39.182000000000002</v>
      </c>
      <c r="I33" s="3">
        <v>123.5</v>
      </c>
      <c r="J33" s="3">
        <v>11.62</v>
      </c>
      <c r="K33" s="3">
        <v>89.6</v>
      </c>
      <c r="L33" s="3">
        <v>26902.099609000001</v>
      </c>
      <c r="N33" s="3">
        <f t="shared" si="2"/>
        <v>-3.826535281366894E-3</v>
      </c>
      <c r="O33" s="3">
        <f t="shared" si="3"/>
        <v>-5.4915019936752074E-3</v>
      </c>
      <c r="P33" s="3">
        <f t="shared" si="4"/>
        <v>-1.1849122576541582E-3</v>
      </c>
      <c r="Q33" s="3">
        <f t="shared" si="5"/>
        <v>0</v>
      </c>
      <c r="R33" s="3">
        <f t="shared" si="6"/>
        <v>-6.4486635265339487E-3</v>
      </c>
      <c r="S33" s="3">
        <f t="shared" si="7"/>
        <v>-2.2818036141147857E-3</v>
      </c>
      <c r="T33" s="3">
        <f t="shared" si="8"/>
        <v>-1.0493329559560394E-2</v>
      </c>
      <c r="U33" s="3">
        <f t="shared" si="9"/>
        <v>-1.6326893287429201E-2</v>
      </c>
      <c r="V33" s="3">
        <f t="shared" si="10"/>
        <v>-2.0870322725580426E-2</v>
      </c>
      <c r="W33" s="3">
        <f t="shared" si="11"/>
        <v>1.1154490838656272E-3</v>
      </c>
      <c r="X33" s="3">
        <f t="shared" si="12"/>
        <v>-5.4593853490523259E-3</v>
      </c>
      <c r="Z33" s="5" t="s">
        <v>272</v>
      </c>
      <c r="AA33" s="18">
        <v>0.27627927046943457</v>
      </c>
      <c r="AB33" s="3">
        <v>-7.6836830057155012E-3</v>
      </c>
      <c r="AC33" s="3">
        <v>-0.45075786111268107</v>
      </c>
      <c r="AD33" s="3">
        <v>0.75430659188936255</v>
      </c>
      <c r="AE33" s="3">
        <v>-0.26223730146752083</v>
      </c>
      <c r="AF33" s="3">
        <v>8.2034103637420655E-2</v>
      </c>
      <c r="AG33" s="3">
        <v>-0.23857582465559671</v>
      </c>
      <c r="AH33" s="3">
        <v>-0.1197538057675543</v>
      </c>
      <c r="AI33" s="3">
        <v>-3.9054613712645715E-2</v>
      </c>
      <c r="AJ33" s="19">
        <v>5.6275966477730831E-2</v>
      </c>
      <c r="AL33" s="13" t="s">
        <v>263</v>
      </c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Z33" s="3" t="s">
        <v>38</v>
      </c>
      <c r="BA33" s="3">
        <v>28</v>
      </c>
      <c r="BB33" s="3">
        <f t="shared" si="17"/>
        <v>1.0203389294483813</v>
      </c>
      <c r="BC33" s="3">
        <f t="shared" si="18"/>
        <v>1.0165354556687487</v>
      </c>
      <c r="BD33" s="3">
        <f t="shared" si="20"/>
        <v>1.0386979016813704</v>
      </c>
      <c r="BE33" s="3">
        <f t="shared" si="21"/>
        <v>1.0566292389255021</v>
      </c>
      <c r="BF33" s="3">
        <f t="shared" si="22"/>
        <v>0.99213710009714506</v>
      </c>
      <c r="BH33" s="3">
        <f t="shared" si="23"/>
        <v>1.3080161730716983E-2</v>
      </c>
      <c r="BI33" s="3">
        <f t="shared" si="24"/>
        <v>1.1832159314984325E-2</v>
      </c>
      <c r="BJ33" s="3">
        <f t="shared" si="25"/>
        <v>7.6212003617532123E-3</v>
      </c>
      <c r="BK33" s="3">
        <f t="shared" si="26"/>
        <v>-9.2940563013593769E-5</v>
      </c>
    </row>
    <row r="34" spans="1:63" x14ac:dyDescent="0.2">
      <c r="A34" s="3" t="s">
        <v>41</v>
      </c>
      <c r="B34" s="3">
        <v>78.25</v>
      </c>
      <c r="C34" s="3">
        <v>90.8</v>
      </c>
      <c r="D34" s="3">
        <v>15.182</v>
      </c>
      <c r="E34" s="3">
        <v>65.150000000000006</v>
      </c>
      <c r="F34" s="3">
        <v>54.1</v>
      </c>
      <c r="G34" s="3">
        <v>175.1</v>
      </c>
      <c r="H34" s="3">
        <v>38.773000000000003</v>
      </c>
      <c r="I34" s="3">
        <v>121.5</v>
      </c>
      <c r="J34" s="3">
        <v>11.38</v>
      </c>
      <c r="K34" s="3">
        <v>89.7</v>
      </c>
      <c r="L34" s="3">
        <v>26755.630859000001</v>
      </c>
      <c r="N34" s="3">
        <f t="shared" si="2"/>
        <v>1.2067469400117048E-2</v>
      </c>
      <c r="O34" s="3">
        <f t="shared" si="3"/>
        <v>-2.7571012778251358E-3</v>
      </c>
      <c r="P34" s="3">
        <f t="shared" si="4"/>
        <v>0</v>
      </c>
      <c r="Q34" s="3">
        <f t="shared" si="5"/>
        <v>3.0651364993774521E-3</v>
      </c>
      <c r="R34" s="3">
        <f t="shared" si="6"/>
        <v>3.6900410874540768E-3</v>
      </c>
      <c r="S34" s="3">
        <f t="shared" si="7"/>
        <v>-4.579286765831192E-3</v>
      </c>
      <c r="T34" s="3">
        <f t="shared" si="8"/>
        <v>1.1641157103353894E-2</v>
      </c>
      <c r="U34" s="3">
        <f t="shared" si="9"/>
        <v>2.0367302824434219E-2</v>
      </c>
      <c r="V34" s="3">
        <f t="shared" si="10"/>
        <v>2.7731413105525515E-2</v>
      </c>
      <c r="W34" s="3">
        <f t="shared" si="11"/>
        <v>1.1086588056341107E-2</v>
      </c>
      <c r="X34" s="3">
        <f t="shared" si="12"/>
        <v>1.2449625581577806E-2</v>
      </c>
      <c r="Z34" s="5" t="s">
        <v>273</v>
      </c>
      <c r="AA34" s="18">
        <v>0.34187639488590665</v>
      </c>
      <c r="AB34" s="3">
        <v>-0.12948964914049046</v>
      </c>
      <c r="AC34" s="3">
        <v>0.44989424922149379</v>
      </c>
      <c r="AD34" s="3">
        <v>1.4127832457715052E-2</v>
      </c>
      <c r="AE34" s="3">
        <v>-9.7793809850536696E-3</v>
      </c>
      <c r="AF34" s="3">
        <v>0.70094951941847938</v>
      </c>
      <c r="AG34" s="3">
        <v>7.4528725695085632E-2</v>
      </c>
      <c r="AH34" s="3">
        <v>-0.33888720846877424</v>
      </c>
      <c r="AI34" s="3">
        <v>-0.2020513645479457</v>
      </c>
      <c r="AJ34" s="19">
        <v>0.10535103347446029</v>
      </c>
      <c r="AL34" s="13" t="s">
        <v>21</v>
      </c>
      <c r="AM34" s="14" t="s">
        <v>268</v>
      </c>
      <c r="AN34" s="14" t="s">
        <v>269</v>
      </c>
      <c r="AO34" s="14" t="s">
        <v>270</v>
      </c>
      <c r="AP34" s="14" t="s">
        <v>271</v>
      </c>
      <c r="AQ34" s="14" t="s">
        <v>272</v>
      </c>
      <c r="AR34" s="14" t="s">
        <v>273</v>
      </c>
      <c r="AS34" s="14" t="s">
        <v>274</v>
      </c>
      <c r="AT34" s="14" t="s">
        <v>275</v>
      </c>
      <c r="AU34" s="14" t="s">
        <v>276</v>
      </c>
      <c r="AV34" s="14" t="s">
        <v>277</v>
      </c>
      <c r="AW34" s="14" t="s">
        <v>21</v>
      </c>
      <c r="AX34" s="14" t="s">
        <v>264</v>
      </c>
      <c r="AZ34" s="3" t="s">
        <v>39</v>
      </c>
      <c r="BA34" s="3">
        <v>29</v>
      </c>
      <c r="BB34" s="3">
        <f t="shared" si="17"/>
        <v>1.033772794697281</v>
      </c>
      <c r="BC34" s="3">
        <f t="shared" si="18"/>
        <v>1.0286347040894412</v>
      </c>
      <c r="BD34" s="3">
        <f t="shared" si="20"/>
        <v>1.0466442684699762</v>
      </c>
      <c r="BE34" s="3">
        <f t="shared" si="21"/>
        <v>1.0565310397725527</v>
      </c>
      <c r="BF34" s="3">
        <f t="shared" si="22"/>
        <v>1.0122059121921774</v>
      </c>
      <c r="BH34" s="3">
        <f t="shared" si="23"/>
        <v>3.2678149113225738E-3</v>
      </c>
      <c r="BI34" s="3">
        <f t="shared" si="24"/>
        <v>2.7327451261404297E-3</v>
      </c>
      <c r="BJ34" s="3">
        <f t="shared" si="25"/>
        <v>3.2655930294742119E-4</v>
      </c>
      <c r="BK34" s="3">
        <f t="shared" si="26"/>
        <v>-3.0251245625841777E-3</v>
      </c>
    </row>
    <row r="35" spans="1:63" x14ac:dyDescent="0.2">
      <c r="A35" s="3" t="s">
        <v>42</v>
      </c>
      <c r="B35" s="3">
        <v>79.2</v>
      </c>
      <c r="C35" s="3">
        <v>90.55</v>
      </c>
      <c r="D35" s="3">
        <v>15.182</v>
      </c>
      <c r="E35" s="3">
        <v>65.349999999999994</v>
      </c>
      <c r="F35" s="3">
        <v>54.3</v>
      </c>
      <c r="G35" s="3">
        <v>174.3</v>
      </c>
      <c r="H35" s="3">
        <v>39.226999999999997</v>
      </c>
      <c r="I35" s="3">
        <v>124</v>
      </c>
      <c r="J35" s="3">
        <v>11.7</v>
      </c>
      <c r="K35" s="3">
        <v>90.7</v>
      </c>
      <c r="L35" s="3">
        <v>27090.810547000001</v>
      </c>
      <c r="N35" s="3">
        <f t="shared" si="2"/>
        <v>3.7807228399060477E-3</v>
      </c>
      <c r="O35" s="3">
        <f t="shared" si="3"/>
        <v>-3.8727572608445726E-3</v>
      </c>
      <c r="P35" s="3">
        <f t="shared" si="4"/>
        <v>4.796802574056791E-3</v>
      </c>
      <c r="Q35" s="3">
        <f t="shared" si="5"/>
        <v>0</v>
      </c>
      <c r="R35" s="3">
        <f t="shared" si="6"/>
        <v>-9.2123451932080158E-4</v>
      </c>
      <c r="S35" s="3">
        <f t="shared" si="7"/>
        <v>2.8645106954598987E-3</v>
      </c>
      <c r="T35" s="3">
        <f t="shared" si="8"/>
        <v>5.7954967633642163E-3</v>
      </c>
      <c r="U35" s="3">
        <f t="shared" si="9"/>
        <v>1.6116038943412292E-3</v>
      </c>
      <c r="V35" s="3">
        <f t="shared" si="10"/>
        <v>-6.8610903799450895E-3</v>
      </c>
      <c r="W35" s="3">
        <f t="shared" si="11"/>
        <v>-1.6676317535127438E-2</v>
      </c>
      <c r="X35" s="3">
        <f t="shared" si="12"/>
        <v>3.8951487017584441E-3</v>
      </c>
      <c r="Z35" s="5" t="s">
        <v>274</v>
      </c>
      <c r="AA35" s="18">
        <v>0.35845327544528671</v>
      </c>
      <c r="AB35" s="3">
        <v>6.5273387846608188E-2</v>
      </c>
      <c r="AC35" s="3">
        <v>-6.1686027597552158E-2</v>
      </c>
      <c r="AD35" s="3">
        <v>-0.25603360522017066</v>
      </c>
      <c r="AE35" s="3">
        <v>-2.5381819501796511E-2</v>
      </c>
      <c r="AF35" s="3">
        <v>-0.35829606822239107</v>
      </c>
      <c r="AG35" s="3">
        <v>-0.12061391758554919</v>
      </c>
      <c r="AH35" s="3">
        <v>-0.71697602734891386</v>
      </c>
      <c r="AI35" s="3">
        <v>0.14584732713758675</v>
      </c>
      <c r="AJ35" s="19">
        <v>-0.3449611110725081</v>
      </c>
      <c r="AL35" s="3">
        <v>1</v>
      </c>
      <c r="AM35" s="3">
        <f>AM24</f>
        <v>0.30943176576903642</v>
      </c>
      <c r="AN35" s="3">
        <f t="shared" ref="AN35:AV35" si="47">AN24</f>
        <v>0.27238884516301004</v>
      </c>
      <c r="AO35" s="3">
        <f t="shared" si="47"/>
        <v>0.28730271833153681</v>
      </c>
      <c r="AP35" s="3">
        <f t="shared" si="47"/>
        <v>0.2989256097225354</v>
      </c>
      <c r="AQ35" s="3">
        <f t="shared" si="47"/>
        <v>0.27627927046943457</v>
      </c>
      <c r="AR35" s="3">
        <f t="shared" si="47"/>
        <v>0.34187639488590671</v>
      </c>
      <c r="AS35" s="3">
        <f t="shared" si="47"/>
        <v>0.35845327544528666</v>
      </c>
      <c r="AT35" s="3">
        <f t="shared" si="47"/>
        <v>0.36270764216794532</v>
      </c>
      <c r="AU35" s="3">
        <f t="shared" si="47"/>
        <v>0.34806790525818582</v>
      </c>
      <c r="AV35" s="3">
        <f t="shared" si="47"/>
        <v>0.28939656450712098</v>
      </c>
      <c r="AW35" s="3">
        <v>5.6628288726611089</v>
      </c>
      <c r="AX35" s="3">
        <f>1/SQRT(AW35)</f>
        <v>0.4202263500896144</v>
      </c>
      <c r="AZ35" s="3" t="s">
        <v>40</v>
      </c>
      <c r="BA35" s="3">
        <v>30</v>
      </c>
      <c r="BB35" s="3">
        <f t="shared" si="17"/>
        <v>1.0371564984984758</v>
      </c>
      <c r="BC35" s="3">
        <f t="shared" si="18"/>
        <v>1.0314495449331742</v>
      </c>
      <c r="BD35" s="3">
        <f t="shared" si="20"/>
        <v>1.0469861157063813</v>
      </c>
      <c r="BE35" s="3">
        <f t="shared" si="21"/>
        <v>1.0533397312596278</v>
      </c>
      <c r="BF35" s="3">
        <f t="shared" si="22"/>
        <v>1.0149150540522698</v>
      </c>
      <c r="BH35" s="3">
        <f t="shared" si="23"/>
        <v>-6.8036029461754979E-3</v>
      </c>
      <c r="BI35" s="3">
        <f t="shared" si="24"/>
        <v>-5.8101961879212273E-3</v>
      </c>
      <c r="BJ35" s="3">
        <f t="shared" si="25"/>
        <v>-6.2960794160964312E-3</v>
      </c>
      <c r="BK35" s="3">
        <f t="shared" si="26"/>
        <v>-5.0382233005869803E-3</v>
      </c>
    </row>
    <row r="36" spans="1:63" x14ac:dyDescent="0.2">
      <c r="A36" s="3" t="s">
        <v>43</v>
      </c>
      <c r="B36" s="3">
        <v>79.5</v>
      </c>
      <c r="C36" s="3">
        <v>90.2</v>
      </c>
      <c r="D36" s="3">
        <v>15.255000000000001</v>
      </c>
      <c r="E36" s="3">
        <v>65.349999999999994</v>
      </c>
      <c r="F36" s="3">
        <v>54.25</v>
      </c>
      <c r="G36" s="3">
        <v>174.8</v>
      </c>
      <c r="H36" s="3">
        <v>39.454999999999998</v>
      </c>
      <c r="I36" s="3">
        <v>124.2</v>
      </c>
      <c r="J36" s="3">
        <v>11.62</v>
      </c>
      <c r="K36" s="3">
        <v>89.2</v>
      </c>
      <c r="L36" s="3">
        <v>27196.539063</v>
      </c>
      <c r="N36" s="3">
        <f t="shared" si="2"/>
        <v>-1.6487374109020791E-2</v>
      </c>
      <c r="O36" s="3">
        <f t="shared" si="3"/>
        <v>7.7305741148547824E-3</v>
      </c>
      <c r="P36" s="3">
        <f t="shared" si="4"/>
        <v>1.17924541967529E-3</v>
      </c>
      <c r="Q36" s="3">
        <f t="shared" si="5"/>
        <v>-3.8328908557074826E-3</v>
      </c>
      <c r="R36" s="3">
        <f t="shared" si="6"/>
        <v>-8.329525252830372E-3</v>
      </c>
      <c r="S36" s="3">
        <f t="shared" si="7"/>
        <v>1.024482494842438E-2</v>
      </c>
      <c r="T36" s="3">
        <f t="shared" si="8"/>
        <v>-1.5092409713181709E-2</v>
      </c>
      <c r="U36" s="3">
        <f t="shared" si="9"/>
        <v>-4.0338901009357997E-3</v>
      </c>
      <c r="V36" s="3">
        <f t="shared" si="10"/>
        <v>-1.7226533114462761E-3</v>
      </c>
      <c r="W36" s="3">
        <f t="shared" si="11"/>
        <v>-1.1217051091998442E-3</v>
      </c>
      <c r="X36" s="3">
        <f t="shared" si="12"/>
        <v>-7.05105630858327E-3</v>
      </c>
      <c r="Z36" s="5" t="s">
        <v>275</v>
      </c>
      <c r="AA36" s="18">
        <v>0.36270764216794532</v>
      </c>
      <c r="AB36" s="3">
        <v>0.16778754565581408</v>
      </c>
      <c r="AC36" s="3">
        <v>-0.1677217285066466</v>
      </c>
      <c r="AD36" s="3">
        <v>-0.26778032608286328</v>
      </c>
      <c r="AE36" s="3">
        <v>-0.24458644560750273</v>
      </c>
      <c r="AF36" s="3">
        <v>-9.685312060778184E-2</v>
      </c>
      <c r="AG36" s="3">
        <v>6.1657500887445982E-2</v>
      </c>
      <c r="AH36" s="3">
        <v>0.28204093187225027</v>
      </c>
      <c r="AI36" s="3">
        <v>-0.74809964348296443</v>
      </c>
      <c r="AJ36" s="19">
        <v>-0.16807366537532709</v>
      </c>
      <c r="AL36" s="3">
        <v>2</v>
      </c>
      <c r="AM36" s="3">
        <f t="shared" ref="AM36:AV36" si="48">AM25</f>
        <v>-0.29379584576020928</v>
      </c>
      <c r="AN36" s="3">
        <f t="shared" si="48"/>
        <v>0.62604279763990445</v>
      </c>
      <c r="AO36" s="3">
        <f t="shared" si="48"/>
        <v>0.55828605318847813</v>
      </c>
      <c r="AP36" s="3">
        <f t="shared" si="48"/>
        <v>-0.11355579448402661</v>
      </c>
      <c r="AQ36" s="3">
        <f t="shared" si="48"/>
        <v>7.6836830057155185E-3</v>
      </c>
      <c r="AR36" s="3">
        <f t="shared" si="48"/>
        <v>0.12948964914049038</v>
      </c>
      <c r="AS36" s="3">
        <f t="shared" si="48"/>
        <v>-6.5273387846608161E-2</v>
      </c>
      <c r="AT36" s="3">
        <f t="shared" si="48"/>
        <v>-0.16778754565581402</v>
      </c>
      <c r="AU36" s="3">
        <f t="shared" si="48"/>
        <v>-0.22227313792553774</v>
      </c>
      <c r="AV36" s="3">
        <f t="shared" si="48"/>
        <v>-0.31389639881826931</v>
      </c>
      <c r="AW36" s="3">
        <v>0.8852675224504678</v>
      </c>
      <c r="AX36" s="3">
        <f>1/SQRT(AW36)</f>
        <v>1.062827380520551</v>
      </c>
      <c r="AZ36" s="3" t="s">
        <v>41</v>
      </c>
      <c r="BA36" s="3">
        <v>31</v>
      </c>
      <c r="BB36" s="3">
        <f t="shared" si="17"/>
        <v>1.0301240476184894</v>
      </c>
      <c r="BC36" s="3">
        <f t="shared" si="18"/>
        <v>1.0254739970822342</v>
      </c>
      <c r="BD36" s="3">
        <f t="shared" si="20"/>
        <v>1.0404149160788863</v>
      </c>
      <c r="BE36" s="3">
        <f t="shared" si="21"/>
        <v>1.0480461168854229</v>
      </c>
      <c r="BF36" s="3">
        <f t="shared" si="22"/>
        <v>1.0093893389042414</v>
      </c>
      <c r="BH36" s="3">
        <f t="shared" si="23"/>
        <v>8.4940669074266423E-3</v>
      </c>
      <c r="BI36" s="3">
        <f t="shared" si="24"/>
        <v>6.7663872099212249E-3</v>
      </c>
      <c r="BJ36" s="3">
        <f t="shared" si="25"/>
        <v>2.963862081224955E-3</v>
      </c>
      <c r="BK36" s="3">
        <f t="shared" si="26"/>
        <v>-4.504307579517669E-3</v>
      </c>
    </row>
    <row r="37" spans="1:63" x14ac:dyDescent="0.2">
      <c r="A37" s="3" t="s">
        <v>44</v>
      </c>
      <c r="B37" s="3">
        <v>78.2</v>
      </c>
      <c r="C37" s="3">
        <v>90.9</v>
      </c>
      <c r="D37" s="3">
        <v>15.273</v>
      </c>
      <c r="E37" s="3">
        <v>65.099999999999994</v>
      </c>
      <c r="F37" s="3">
        <v>53.8</v>
      </c>
      <c r="G37" s="3">
        <v>176.6</v>
      </c>
      <c r="H37" s="3">
        <v>38.863999999999997</v>
      </c>
      <c r="I37" s="3">
        <v>123.7</v>
      </c>
      <c r="J37" s="3">
        <v>11.6</v>
      </c>
      <c r="K37" s="3">
        <v>89.1</v>
      </c>
      <c r="L37" s="3">
        <v>27005.449218999998</v>
      </c>
      <c r="N37" s="3">
        <f t="shared" si="2"/>
        <v>1.0178204915756162E-2</v>
      </c>
      <c r="O37" s="3">
        <f t="shared" si="3"/>
        <v>4.9382816405829644E-3</v>
      </c>
      <c r="P37" s="3">
        <f t="shared" si="4"/>
        <v>7.1114310465536512E-3</v>
      </c>
      <c r="Q37" s="3">
        <f t="shared" si="5"/>
        <v>-2.3068060979154481E-3</v>
      </c>
      <c r="R37" s="3">
        <f t="shared" si="6"/>
        <v>0</v>
      </c>
      <c r="S37" s="3">
        <f t="shared" si="7"/>
        <v>2.2624444039696101E-3</v>
      </c>
      <c r="T37" s="3">
        <f t="shared" si="8"/>
        <v>6.9743872449454791E-3</v>
      </c>
      <c r="U37" s="3">
        <f t="shared" si="9"/>
        <v>1.2053179267555336E-2</v>
      </c>
      <c r="V37" s="3">
        <f t="shared" si="10"/>
        <v>8.5837436913913656E-3</v>
      </c>
      <c r="W37" s="3">
        <f t="shared" si="11"/>
        <v>5.5959855041205486E-3</v>
      </c>
      <c r="X37" s="3">
        <f t="shared" si="12"/>
        <v>1.0182611550568765E-4</v>
      </c>
      <c r="Z37" s="5" t="s">
        <v>276</v>
      </c>
      <c r="AA37" s="18">
        <v>0.34806790525818582</v>
      </c>
      <c r="AB37" s="3">
        <v>0.22227313792553785</v>
      </c>
      <c r="AC37" s="3">
        <v>-0.24756342236273773</v>
      </c>
      <c r="AD37" s="3">
        <v>-0.26067012979622434</v>
      </c>
      <c r="AE37" s="3">
        <v>-9.9417028445405536E-2</v>
      </c>
      <c r="AF37" s="3">
        <v>0.41617713104599968</v>
      </c>
      <c r="AG37" s="3">
        <v>-4.8921141413223547E-2</v>
      </c>
      <c r="AH37" s="3">
        <v>0.3638810608876159</v>
      </c>
      <c r="AI37" s="3">
        <v>0.54486614743289663</v>
      </c>
      <c r="AJ37" s="19">
        <v>-0.29229753284478988</v>
      </c>
      <c r="AL37" s="3">
        <v>3</v>
      </c>
      <c r="AM37" s="3">
        <f t="shared" ref="AM37:AV37" si="49">AM26</f>
        <v>-5.4543042181097449E-2</v>
      </c>
      <c r="AN37" s="3">
        <f t="shared" si="49"/>
        <v>8.5877739848753465E-2</v>
      </c>
      <c r="AO37" s="3">
        <f t="shared" si="49"/>
        <v>6.6216471030159776E-2</v>
      </c>
      <c r="AP37" s="3">
        <f t="shared" si="49"/>
        <v>-0.6842174685245529</v>
      </c>
      <c r="AQ37" s="3">
        <f t="shared" si="49"/>
        <v>0.45075786111268101</v>
      </c>
      <c r="AR37" s="3">
        <f t="shared" si="49"/>
        <v>-0.44989424922149368</v>
      </c>
      <c r="AS37" s="3">
        <f t="shared" si="49"/>
        <v>6.1686027597552137E-2</v>
      </c>
      <c r="AT37" s="3">
        <f t="shared" si="49"/>
        <v>0.16772172850664654</v>
      </c>
      <c r="AU37" s="3">
        <f t="shared" si="49"/>
        <v>0.24756342236273765</v>
      </c>
      <c r="AV37" s="3">
        <f t="shared" si="49"/>
        <v>0.13528129188782986</v>
      </c>
      <c r="AW37" s="3">
        <v>0.70552025814059727</v>
      </c>
      <c r="AX37" s="3">
        <f>1/SQRT(AW37)</f>
        <v>1.1905434657256657</v>
      </c>
      <c r="AZ37" s="3" t="s">
        <v>42</v>
      </c>
      <c r="BA37" s="3">
        <v>32</v>
      </c>
      <c r="BB37" s="3">
        <f t="shared" si="17"/>
        <v>1.0389112569414427</v>
      </c>
      <c r="BC37" s="3">
        <f t="shared" si="18"/>
        <v>1.0324362794058262</v>
      </c>
      <c r="BD37" s="3">
        <f t="shared" si="20"/>
        <v>1.0435031366666423</v>
      </c>
      <c r="BE37" s="3">
        <f t="shared" si="21"/>
        <v>1.0433360106645531</v>
      </c>
      <c r="BF37" s="3">
        <f t="shared" si="22"/>
        <v>1.0220344081035964</v>
      </c>
      <c r="BH37" s="3">
        <f t="shared" si="23"/>
        <v>-1.0005331164443174E-3</v>
      </c>
      <c r="BI37" s="3">
        <f t="shared" si="24"/>
        <v>-6.8566281135326937E-4</v>
      </c>
      <c r="BJ37" s="3">
        <f t="shared" si="25"/>
        <v>6.4676814504656399E-4</v>
      </c>
      <c r="BK37" s="3">
        <f t="shared" si="26"/>
        <v>2.3923639017888881E-3</v>
      </c>
    </row>
    <row r="38" spans="1:63" x14ac:dyDescent="0.2">
      <c r="A38" s="3" t="s">
        <v>45</v>
      </c>
      <c r="B38" s="3">
        <v>79</v>
      </c>
      <c r="C38" s="3">
        <v>91.35</v>
      </c>
      <c r="D38" s="3">
        <v>15.382</v>
      </c>
      <c r="E38" s="3">
        <v>64.95</v>
      </c>
      <c r="F38" s="3">
        <v>53.8</v>
      </c>
      <c r="G38" s="3">
        <v>177</v>
      </c>
      <c r="H38" s="3">
        <v>39.136000000000003</v>
      </c>
      <c r="I38" s="3">
        <v>125.2</v>
      </c>
      <c r="J38" s="3">
        <v>11.7</v>
      </c>
      <c r="K38" s="3">
        <v>89.6</v>
      </c>
      <c r="L38" s="3">
        <v>27008.199218999998</v>
      </c>
      <c r="N38" s="3">
        <f t="shared" si="2"/>
        <v>1.2578782206859707E-2</v>
      </c>
      <c r="O38" s="3">
        <f t="shared" si="3"/>
        <v>7.090294225024607E-3</v>
      </c>
      <c r="P38" s="3">
        <f t="shared" si="4"/>
        <v>3.5044490405100603E-3</v>
      </c>
      <c r="Q38" s="3">
        <f t="shared" si="5"/>
        <v>5.3742931657767556E-3</v>
      </c>
      <c r="R38" s="3">
        <f t="shared" si="6"/>
        <v>-2.7919980910309228E-3</v>
      </c>
      <c r="S38" s="3">
        <f t="shared" si="7"/>
        <v>4.509590505975325E-3</v>
      </c>
      <c r="T38" s="3">
        <f t="shared" si="8"/>
        <v>1.8430901474341344E-2</v>
      </c>
      <c r="U38" s="3">
        <f t="shared" si="9"/>
        <v>8.7475706904474038E-3</v>
      </c>
      <c r="V38" s="3">
        <f t="shared" si="10"/>
        <v>1.7079423451562548E-3</v>
      </c>
      <c r="W38" s="3">
        <f t="shared" si="11"/>
        <v>1.8247672481716215E-2</v>
      </c>
      <c r="X38" s="3">
        <f t="shared" si="12"/>
        <v>4.1671207231637197E-3</v>
      </c>
      <c r="Z38" s="5" t="s">
        <v>277</v>
      </c>
      <c r="AA38" s="20">
        <v>0.28939656450712103</v>
      </c>
      <c r="AB38" s="21">
        <v>0.31389639881826947</v>
      </c>
      <c r="AC38" s="21">
        <v>-0.13528129188782989</v>
      </c>
      <c r="AD38" s="21">
        <v>-0.23325561081346197</v>
      </c>
      <c r="AE38" s="21">
        <v>9.8809907860084645E-2</v>
      </c>
      <c r="AF38" s="21">
        <v>-0.10597637917109129</v>
      </c>
      <c r="AG38" s="21">
        <v>-9.2352636445003078E-2</v>
      </c>
      <c r="AH38" s="21">
        <v>-5.2375467811178487E-2</v>
      </c>
      <c r="AI38" s="21">
        <v>9.0000530631378486E-2</v>
      </c>
      <c r="AJ38" s="22">
        <v>0.83943003634332169</v>
      </c>
      <c r="AL38" s="3">
        <v>4</v>
      </c>
      <c r="AM38" s="3">
        <f t="shared" ref="AM38:AV38" si="50">AM27</f>
        <v>0.33993195911457524</v>
      </c>
      <c r="AN38" s="3">
        <f t="shared" si="50"/>
        <v>-5.6741389591666754E-2</v>
      </c>
      <c r="AO38" s="3">
        <f t="shared" si="50"/>
        <v>-7.2293500297846536E-2</v>
      </c>
      <c r="AP38" s="3">
        <f t="shared" si="50"/>
        <v>0.21726870665996928</v>
      </c>
      <c r="AQ38" s="3">
        <f t="shared" si="50"/>
        <v>0.75430659188936255</v>
      </c>
      <c r="AR38" s="3">
        <f t="shared" si="50"/>
        <v>1.4127832457715052E-2</v>
      </c>
      <c r="AS38" s="3">
        <f t="shared" si="50"/>
        <v>-0.25603360522017066</v>
      </c>
      <c r="AT38" s="3">
        <f t="shared" si="50"/>
        <v>-0.26778032608286328</v>
      </c>
      <c r="AU38" s="3">
        <f t="shared" si="50"/>
        <v>-0.26067012979622434</v>
      </c>
      <c r="AV38" s="3">
        <f t="shared" si="50"/>
        <v>-0.23325561081346197</v>
      </c>
      <c r="AW38" s="3">
        <v>0.63545350497250541</v>
      </c>
      <c r="AX38" s="3">
        <f>1/SQRT(AW38)</f>
        <v>1.2544637331096573</v>
      </c>
      <c r="AZ38" s="3" t="s">
        <v>43</v>
      </c>
      <c r="BA38" s="3">
        <v>33</v>
      </c>
      <c r="BB38" s="3">
        <f t="shared" si="17"/>
        <v>1.0378723116600772</v>
      </c>
      <c r="BC38" s="3">
        <f t="shared" si="18"/>
        <v>1.0317286188799231</v>
      </c>
      <c r="BD38" s="3">
        <f t="shared" si="20"/>
        <v>1.0441782595551494</v>
      </c>
      <c r="BE38" s="3">
        <f t="shared" si="21"/>
        <v>1.0458350381735924</v>
      </c>
      <c r="BF38" s="3">
        <f t="shared" si="22"/>
        <v>1.0260231474247126</v>
      </c>
      <c r="BH38" s="3">
        <f t="shared" si="23"/>
        <v>-3.1359090465139794E-3</v>
      </c>
      <c r="BI38" s="3">
        <f t="shared" si="24"/>
        <v>-3.0494723407534993E-3</v>
      </c>
      <c r="BJ38" s="3">
        <f t="shared" si="25"/>
        <v>-2.615987628241008E-3</v>
      </c>
      <c r="BK38" s="3">
        <f t="shared" si="26"/>
        <v>-2.9502284068262039E-3</v>
      </c>
    </row>
    <row r="39" spans="1:63" x14ac:dyDescent="0.2">
      <c r="A39" s="3" t="s">
        <v>46</v>
      </c>
      <c r="B39" s="3">
        <v>80</v>
      </c>
      <c r="C39" s="3">
        <v>92</v>
      </c>
      <c r="D39" s="3">
        <v>15.436</v>
      </c>
      <c r="E39" s="3">
        <v>65.3</v>
      </c>
      <c r="F39" s="3">
        <v>53.65</v>
      </c>
      <c r="G39" s="3">
        <v>177.8</v>
      </c>
      <c r="H39" s="3">
        <v>39.863999999999997</v>
      </c>
      <c r="I39" s="3">
        <v>126.3</v>
      </c>
      <c r="J39" s="3">
        <v>11.72</v>
      </c>
      <c r="K39" s="3">
        <v>91.25</v>
      </c>
      <c r="L39" s="3">
        <v>27120.980468999998</v>
      </c>
      <c r="N39" s="3">
        <f t="shared" si="2"/>
        <v>1.2422519998557924E-2</v>
      </c>
      <c r="O39" s="3">
        <f t="shared" si="3"/>
        <v>-1.0379770875423411E-2</v>
      </c>
      <c r="P39" s="3">
        <f t="shared" si="4"/>
        <v>8.2581114469348904E-3</v>
      </c>
      <c r="Q39" s="3">
        <f t="shared" si="5"/>
        <v>9.1464052260761264E-3</v>
      </c>
      <c r="R39" s="3">
        <f t="shared" si="6"/>
        <v>0</v>
      </c>
      <c r="S39" s="3">
        <f t="shared" si="7"/>
        <v>1.0072832788295294E-2</v>
      </c>
      <c r="T39" s="3">
        <f t="shared" si="8"/>
        <v>1.2464637623178731E-2</v>
      </c>
      <c r="U39" s="3">
        <f t="shared" si="9"/>
        <v>2.1152375005226709E-2</v>
      </c>
      <c r="V39" s="3">
        <f t="shared" si="10"/>
        <v>1.1874609420712723E-2</v>
      </c>
      <c r="W39" s="3">
        <f t="shared" si="11"/>
        <v>5.4644944720791955E-3</v>
      </c>
      <c r="X39" s="3">
        <f t="shared" si="12"/>
        <v>1.6391209597095724E-2</v>
      </c>
      <c r="AL39" s="7" t="s">
        <v>284</v>
      </c>
      <c r="AM39" s="3">
        <f t="shared" ref="AM39:AV39" si="51">SUMPRODUCT(AM35:AM38,$AX35:$AX38)/$AX$40</f>
        <v>4.563920151913621E-2</v>
      </c>
      <c r="AN39" s="3">
        <f t="shared" si="51"/>
        <v>0.20643813273310316</v>
      </c>
      <c r="AO39" s="3">
        <f t="shared" si="51"/>
        <v>0.17877469353079892</v>
      </c>
      <c r="AP39" s="3">
        <f t="shared" si="51"/>
        <v>-0.13673634975689825</v>
      </c>
      <c r="AQ39" s="3">
        <f t="shared" si="51"/>
        <v>0.40914929180752724</v>
      </c>
      <c r="AR39" s="3">
        <f t="shared" si="51"/>
        <v>-6.0234603097345123E-2</v>
      </c>
      <c r="AS39" s="3">
        <f t="shared" si="51"/>
        <v>-4.2384222220136443E-2</v>
      </c>
      <c r="AT39" s="3">
        <f t="shared" si="51"/>
        <v>-4.1280059425100032E-2</v>
      </c>
      <c r="AU39" s="3">
        <f t="shared" si="51"/>
        <v>-3.111888614122469E-2</v>
      </c>
      <c r="AV39" s="3">
        <f t="shared" si="51"/>
        <v>-8.7462510808328953E-2</v>
      </c>
      <c r="AW39" s="6"/>
      <c r="AX39" s="14" t="s">
        <v>4</v>
      </c>
      <c r="AZ39" s="3" t="s">
        <v>44</v>
      </c>
      <c r="BA39" s="3">
        <v>34</v>
      </c>
      <c r="BB39" s="3">
        <f t="shared" si="17"/>
        <v>1.0346227363381471</v>
      </c>
      <c r="BC39" s="3">
        <f t="shared" si="18"/>
        <v>1.0285871832883824</v>
      </c>
      <c r="BD39" s="3">
        <f t="shared" si="20"/>
        <v>1.0414502718931855</v>
      </c>
      <c r="BE39" s="3">
        <f t="shared" si="21"/>
        <v>1.0427541328569543</v>
      </c>
      <c r="BF39" s="3">
        <f t="shared" si="22"/>
        <v>1.0188140461957802</v>
      </c>
      <c r="BH39" s="3">
        <f t="shared" si="23"/>
        <v>5.6623696018207464E-3</v>
      </c>
      <c r="BI39" s="3">
        <f t="shared" si="24"/>
        <v>4.9534429320454536E-3</v>
      </c>
      <c r="BJ39" s="3">
        <f t="shared" si="25"/>
        <v>4.7272721326465511E-3</v>
      </c>
      <c r="BK39" s="3">
        <f t="shared" si="26"/>
        <v>3.0040694806193757E-3</v>
      </c>
    </row>
    <row r="40" spans="1:63" x14ac:dyDescent="0.2">
      <c r="A40" s="3" t="s">
        <v>47</v>
      </c>
      <c r="B40" s="3">
        <v>81</v>
      </c>
      <c r="C40" s="3">
        <v>91.05</v>
      </c>
      <c r="D40" s="3">
        <v>15.564</v>
      </c>
      <c r="E40" s="3">
        <v>65.900000000000006</v>
      </c>
      <c r="F40" s="3">
        <v>53.65</v>
      </c>
      <c r="G40" s="3">
        <v>179.6</v>
      </c>
      <c r="H40" s="3">
        <v>40.363999999999997</v>
      </c>
      <c r="I40" s="3">
        <v>129</v>
      </c>
      <c r="J40" s="3">
        <v>11.86</v>
      </c>
      <c r="K40" s="3">
        <v>91.75</v>
      </c>
      <c r="L40" s="3">
        <v>27569.189452999999</v>
      </c>
      <c r="N40" s="3">
        <f t="shared" si="2"/>
        <v>-1.9950786419348887E-2</v>
      </c>
      <c r="O40" s="3">
        <f t="shared" si="3"/>
        <v>-1.0989012094855255E-3</v>
      </c>
      <c r="P40" s="3">
        <f t="shared" si="4"/>
        <v>-1.2215116115901203E-3</v>
      </c>
      <c r="Q40" s="3">
        <f t="shared" si="5"/>
        <v>-7.5901331917105352E-4</v>
      </c>
      <c r="R40" s="3">
        <f t="shared" si="6"/>
        <v>-2.7998151747468114E-3</v>
      </c>
      <c r="S40" s="3">
        <f t="shared" si="7"/>
        <v>-5.5834874257003619E-3</v>
      </c>
      <c r="T40" s="3">
        <f t="shared" si="8"/>
        <v>-1.5907241317185239E-2</v>
      </c>
      <c r="U40" s="3">
        <f t="shared" si="9"/>
        <v>-7.7821404420550522E-3</v>
      </c>
      <c r="V40" s="3">
        <f t="shared" si="10"/>
        <v>-5.0718620979601781E-3</v>
      </c>
      <c r="W40" s="3">
        <f t="shared" si="11"/>
        <v>-1.0408201327432032E-2</v>
      </c>
      <c r="X40" s="3">
        <f t="shared" si="12"/>
        <v>2.8185050076423579E-4</v>
      </c>
      <c r="Z40" s="4" t="s">
        <v>281</v>
      </c>
      <c r="AL40" s="7" t="s">
        <v>7</v>
      </c>
      <c r="AM40" s="3">
        <v>81.8</v>
      </c>
      <c r="AN40" s="3">
        <v>86.25</v>
      </c>
      <c r="AO40" s="3">
        <v>14.345000000000001</v>
      </c>
      <c r="AP40" s="3">
        <v>66.900000000000006</v>
      </c>
      <c r="AQ40" s="3">
        <v>53</v>
      </c>
      <c r="AR40" s="3">
        <v>180.6</v>
      </c>
      <c r="AS40" s="3">
        <v>36.545000000000002</v>
      </c>
      <c r="AT40" s="3">
        <v>111.5</v>
      </c>
      <c r="AU40" s="3">
        <v>10.52</v>
      </c>
      <c r="AV40" s="3">
        <v>86.5</v>
      </c>
      <c r="AW40" s="6"/>
      <c r="AX40" s="3">
        <f>SUM(AX35:AX38)</f>
        <v>3.9280609294454885</v>
      </c>
      <c r="AZ40" s="3" t="s">
        <v>45</v>
      </c>
      <c r="BA40" s="3">
        <v>35</v>
      </c>
      <c r="BB40" s="3">
        <f t="shared" si="17"/>
        <v>1.0404977702792262</v>
      </c>
      <c r="BC40" s="3">
        <f t="shared" si="18"/>
        <v>1.0336948710776555</v>
      </c>
      <c r="BD40" s="3">
        <f t="shared" si="20"/>
        <v>1.0463851457969777</v>
      </c>
      <c r="BE40" s="3">
        <f t="shared" si="21"/>
        <v>1.0458913485709507</v>
      </c>
      <c r="BF40" s="3">
        <f t="shared" si="22"/>
        <v>1.0189177933545228</v>
      </c>
      <c r="BH40" s="3">
        <f t="shared" si="23"/>
        <v>7.7659516485676927E-3</v>
      </c>
      <c r="BI40" s="3">
        <f t="shared" si="24"/>
        <v>6.9832976379737288E-3</v>
      </c>
      <c r="BJ40" s="3">
        <f t="shared" si="25"/>
        <v>2.4807010034038138E-3</v>
      </c>
      <c r="BK40" s="3">
        <f t="shared" si="26"/>
        <v>-5.0724932933267977E-3</v>
      </c>
    </row>
    <row r="41" spans="1:63" x14ac:dyDescent="0.2">
      <c r="A41" s="3" t="s">
        <v>48</v>
      </c>
      <c r="B41" s="3">
        <v>79.400000000000006</v>
      </c>
      <c r="C41" s="3">
        <v>90.95</v>
      </c>
      <c r="D41" s="3">
        <v>15.545</v>
      </c>
      <c r="E41" s="3">
        <v>65.849999999999994</v>
      </c>
      <c r="F41" s="3">
        <v>53.5</v>
      </c>
      <c r="G41" s="3">
        <v>178.6</v>
      </c>
      <c r="H41" s="3">
        <v>39.726999999999997</v>
      </c>
      <c r="I41" s="3">
        <v>128</v>
      </c>
      <c r="J41" s="3">
        <v>11.8</v>
      </c>
      <c r="K41" s="3">
        <v>90.8</v>
      </c>
      <c r="L41" s="3">
        <v>27576.960938</v>
      </c>
      <c r="N41" s="3">
        <f t="shared" si="2"/>
        <v>-6.3171404012614119E-3</v>
      </c>
      <c r="O41" s="3">
        <f t="shared" si="3"/>
        <v>-5.499037806986351E-4</v>
      </c>
      <c r="P41" s="3">
        <f t="shared" si="4"/>
        <v>1.2215116115901203E-3</v>
      </c>
      <c r="Q41" s="3">
        <f t="shared" si="5"/>
        <v>1.5174509740329967E-3</v>
      </c>
      <c r="R41" s="3">
        <f t="shared" si="6"/>
        <v>-1.0333581854545137E-2</v>
      </c>
      <c r="S41" s="3">
        <f t="shared" si="7"/>
        <v>0</v>
      </c>
      <c r="T41" s="3">
        <f t="shared" si="8"/>
        <v>5.7227635413292788E-3</v>
      </c>
      <c r="U41" s="3">
        <f t="shared" si="9"/>
        <v>1.3193827402781189E-2</v>
      </c>
      <c r="V41" s="3">
        <f t="shared" si="10"/>
        <v>6.7567824628795847E-3</v>
      </c>
      <c r="W41" s="3">
        <f t="shared" si="11"/>
        <v>1.6506193568837091E-3</v>
      </c>
      <c r="X41" s="3">
        <f t="shared" si="12"/>
        <v>-1.6433452059825271E-3</v>
      </c>
      <c r="Z41" s="5" t="s">
        <v>257</v>
      </c>
      <c r="AA41" s="5">
        <v>1</v>
      </c>
      <c r="AB41" s="5">
        <v>2</v>
      </c>
      <c r="AC41" s="5">
        <v>3</v>
      </c>
      <c r="AD41" s="5">
        <v>4</v>
      </c>
      <c r="AE41" s="5">
        <v>5</v>
      </c>
      <c r="AF41" s="5">
        <v>6</v>
      </c>
      <c r="AG41" s="5">
        <v>7</v>
      </c>
      <c r="AH41" s="5">
        <v>8</v>
      </c>
      <c r="AI41" s="5">
        <v>9</v>
      </c>
      <c r="AJ41" s="5">
        <v>10</v>
      </c>
      <c r="AL41" s="7" t="s">
        <v>261</v>
      </c>
      <c r="AM41" s="3">
        <f t="shared" ref="AM41:AV41" si="52">AM39/AM40</f>
        <v>5.5793644888919576E-4</v>
      </c>
      <c r="AN41" s="3">
        <f t="shared" si="52"/>
        <v>2.393485596905544E-3</v>
      </c>
      <c r="AO41" s="3">
        <f t="shared" si="52"/>
        <v>1.2462509134248791E-2</v>
      </c>
      <c r="AP41" s="3">
        <f t="shared" si="52"/>
        <v>-2.0438916256636506E-3</v>
      </c>
      <c r="AQ41" s="3">
        <f t="shared" si="52"/>
        <v>7.7197979586325896E-3</v>
      </c>
      <c r="AR41" s="3">
        <f t="shared" si="52"/>
        <v>-3.3352493409382684E-4</v>
      </c>
      <c r="AS41" s="3">
        <f t="shared" si="52"/>
        <v>-1.1597816998258706E-3</v>
      </c>
      <c r="AT41" s="3">
        <f t="shared" si="52"/>
        <v>-3.702247482071752E-4</v>
      </c>
      <c r="AU41" s="3">
        <f t="shared" si="52"/>
        <v>-2.9580690248312445E-3</v>
      </c>
      <c r="AV41" s="3">
        <f t="shared" si="52"/>
        <v>-1.0111272925818376E-3</v>
      </c>
      <c r="AW41" s="6"/>
      <c r="AX41" s="6"/>
      <c r="AZ41" s="3" t="s">
        <v>46</v>
      </c>
      <c r="BA41" s="3">
        <v>36</v>
      </c>
      <c r="BB41" s="3">
        <f t="shared" si="17"/>
        <v>1.0486096832465128</v>
      </c>
      <c r="BC41" s="3">
        <f t="shared" si="18"/>
        <v>1.0409387336152165</v>
      </c>
      <c r="BD41" s="3">
        <f t="shared" si="20"/>
        <v>1.0489841368050814</v>
      </c>
      <c r="BE41" s="3">
        <f t="shared" si="21"/>
        <v>1.0405995044882592</v>
      </c>
      <c r="BF41" s="3">
        <f t="shared" si="22"/>
        <v>1.0231726058079544</v>
      </c>
      <c r="BH41" s="3">
        <f t="shared" si="23"/>
        <v>8.1730088214525404E-3</v>
      </c>
      <c r="BI41" s="3">
        <f t="shared" si="24"/>
        <v>6.9747586931940692E-3</v>
      </c>
      <c r="BJ41" s="3">
        <f t="shared" si="25"/>
        <v>8.7917434801720179E-4</v>
      </c>
      <c r="BK41" s="3">
        <f t="shared" si="26"/>
        <v>-9.7415072079292432E-3</v>
      </c>
    </row>
    <row r="42" spans="1:63" x14ac:dyDescent="0.2">
      <c r="A42" s="3" t="s">
        <v>49</v>
      </c>
      <c r="B42" s="3">
        <v>78.900000000000006</v>
      </c>
      <c r="C42" s="3">
        <v>90.9</v>
      </c>
      <c r="D42" s="3">
        <v>15.564</v>
      </c>
      <c r="E42" s="3">
        <v>65.95</v>
      </c>
      <c r="F42" s="3">
        <v>52.95</v>
      </c>
      <c r="G42" s="3">
        <v>178.6</v>
      </c>
      <c r="H42" s="3">
        <v>39.954999999999998</v>
      </c>
      <c r="I42" s="3">
        <v>129.69999999999999</v>
      </c>
      <c r="J42" s="3">
        <v>11.88</v>
      </c>
      <c r="K42" s="3">
        <v>90.95</v>
      </c>
      <c r="L42" s="3">
        <v>27531.679688</v>
      </c>
      <c r="N42" s="3">
        <f t="shared" si="2"/>
        <v>2.5316469217795401E-3</v>
      </c>
      <c r="O42" s="3">
        <f t="shared" si="3"/>
        <v>1.2028575865607571E-2</v>
      </c>
      <c r="P42" s="3">
        <f t="shared" si="4"/>
        <v>-2.3801111232746308E-3</v>
      </c>
      <c r="Q42" s="3">
        <f t="shared" si="5"/>
        <v>5.293018028493357E-3</v>
      </c>
      <c r="R42" s="3">
        <f t="shared" si="6"/>
        <v>-2.8368813351997701E-3</v>
      </c>
      <c r="S42" s="3">
        <f t="shared" si="7"/>
        <v>5.0265394859341228E-3</v>
      </c>
      <c r="T42" s="3">
        <f t="shared" si="8"/>
        <v>7.92744840643822E-3</v>
      </c>
      <c r="U42" s="3">
        <f t="shared" si="9"/>
        <v>8.4453477007002675E-3</v>
      </c>
      <c r="V42" s="3">
        <f t="shared" si="10"/>
        <v>1.171561517256281E-2</v>
      </c>
      <c r="W42" s="3">
        <f t="shared" si="11"/>
        <v>2.1965961605401318E-3</v>
      </c>
      <c r="X42" s="3">
        <f t="shared" si="12"/>
        <v>4.0297605745553966E-3</v>
      </c>
      <c r="Z42" s="5" t="s">
        <v>21</v>
      </c>
      <c r="AA42" s="5">
        <f t="shared" ref="AA42:AJ42" si="53">SUM(AA16:AA25)</f>
        <v>5.6509079706213985</v>
      </c>
      <c r="AB42" s="5">
        <f t="shared" si="53"/>
        <v>0.88528836713731818</v>
      </c>
      <c r="AC42" s="5">
        <f t="shared" si="53"/>
        <v>0.70518911404800388</v>
      </c>
      <c r="AD42" s="5">
        <f t="shared" si="53"/>
        <v>0.63737071871490925</v>
      </c>
      <c r="AE42" s="5">
        <f t="shared" si="53"/>
        <v>0.41156018710868636</v>
      </c>
      <c r="AF42" s="5">
        <f t="shared" si="53"/>
        <v>0.28513398413949509</v>
      </c>
      <c r="AG42" s="5">
        <f t="shared" si="53"/>
        <v>0.47954106986702005</v>
      </c>
      <c r="AH42" s="5">
        <f t="shared" si="53"/>
        <v>0.22168792986420222</v>
      </c>
      <c r="AI42" s="5">
        <f t="shared" si="53"/>
        <v>0.18617552574666041</v>
      </c>
      <c r="AJ42" s="5">
        <f t="shared" si="53"/>
        <v>0.53714513275230236</v>
      </c>
      <c r="AZ42" s="3" t="s">
        <v>47</v>
      </c>
      <c r="BA42" s="3">
        <v>37</v>
      </c>
      <c r="BB42" s="3">
        <f t="shared" si="17"/>
        <v>1.0572150975996191</v>
      </c>
      <c r="BC42" s="3">
        <f t="shared" si="18"/>
        <v>1.0482244084729546</v>
      </c>
      <c r="BD42" s="3">
        <f t="shared" si="20"/>
        <v>1.0499067822733217</v>
      </c>
      <c r="BE42" s="3">
        <f t="shared" si="21"/>
        <v>1.0305117118420541</v>
      </c>
      <c r="BF42" s="3">
        <f t="shared" si="22"/>
        <v>1.0400818453035547</v>
      </c>
      <c r="BH42" s="3">
        <f t="shared" si="23"/>
        <v>-7.0473521912569476E-3</v>
      </c>
      <c r="BI42" s="3">
        <f t="shared" si="24"/>
        <v>-6.3531842493962445E-3</v>
      </c>
      <c r="BJ42" s="3">
        <f t="shared" si="25"/>
        <v>-3.8628635630015423E-3</v>
      </c>
      <c r="BK42" s="3">
        <f t="shared" si="26"/>
        <v>3.4332377424081684E-4</v>
      </c>
    </row>
    <row r="43" spans="1:63" x14ac:dyDescent="0.2">
      <c r="A43" s="3" t="s">
        <v>50</v>
      </c>
      <c r="B43" s="3">
        <v>79.099999999999994</v>
      </c>
      <c r="C43" s="3">
        <v>92</v>
      </c>
      <c r="D43" s="3">
        <v>15.526999999999999</v>
      </c>
      <c r="E43" s="3">
        <v>66.3</v>
      </c>
      <c r="F43" s="3">
        <v>52.8</v>
      </c>
      <c r="G43" s="3">
        <v>179.5</v>
      </c>
      <c r="H43" s="3">
        <v>40.273000000000003</v>
      </c>
      <c r="I43" s="3">
        <v>130.80000000000001</v>
      </c>
      <c r="J43" s="3">
        <v>12.02</v>
      </c>
      <c r="K43" s="3">
        <v>91.15</v>
      </c>
      <c r="L43" s="3">
        <v>27642.849609000001</v>
      </c>
      <c r="N43" s="3">
        <f t="shared" si="2"/>
        <v>-1.8981340719568252E-3</v>
      </c>
      <c r="O43" s="3">
        <f t="shared" si="3"/>
        <v>-1.2578782206860595E-2</v>
      </c>
      <c r="P43" s="3">
        <f t="shared" si="4"/>
        <v>-3.4838744914966746E-3</v>
      </c>
      <c r="Q43" s="3">
        <f t="shared" si="5"/>
        <v>6.0150557297617979E-3</v>
      </c>
      <c r="R43" s="3">
        <f t="shared" si="6"/>
        <v>-9.4741835604006397E-4</v>
      </c>
      <c r="S43" s="3">
        <f t="shared" si="7"/>
        <v>5.5694793976623913E-4</v>
      </c>
      <c r="T43" s="3">
        <f t="shared" si="8"/>
        <v>3.3712632014086807E-3</v>
      </c>
      <c r="U43" s="3">
        <f t="shared" si="9"/>
        <v>3.0534374868897984E-3</v>
      </c>
      <c r="V43" s="3">
        <f t="shared" si="10"/>
        <v>2.3027333271310457E-2</v>
      </c>
      <c r="W43" s="3">
        <f t="shared" si="11"/>
        <v>1.6861971447137414E-2</v>
      </c>
      <c r="X43" s="3">
        <f t="shared" si="12"/>
        <v>1.0780687930683541E-2</v>
      </c>
      <c r="Z43" s="5" t="s">
        <v>268</v>
      </c>
      <c r="AA43" s="3">
        <v>0.30943176576903642</v>
      </c>
      <c r="AB43" s="3">
        <v>-0.29379584576020928</v>
      </c>
      <c r="AC43" s="3">
        <v>5.4543042181097449E-2</v>
      </c>
      <c r="AD43" s="3">
        <v>0.33993195911457524</v>
      </c>
      <c r="AE43" s="3">
        <v>0.60653066620466145</v>
      </c>
      <c r="AF43" s="3">
        <v>0.12933161408732061</v>
      </c>
      <c r="AG43" s="3">
        <v>-0.53877469739291473</v>
      </c>
      <c r="AH43" s="3">
        <v>-7.4849251342142237E-2</v>
      </c>
      <c r="AI43" s="3">
        <v>-3.9696854801139709E-3</v>
      </c>
      <c r="AJ43" s="3">
        <v>0.13749488805056886</v>
      </c>
      <c r="AZ43" s="3" t="s">
        <v>48</v>
      </c>
      <c r="BA43" s="3">
        <v>38</v>
      </c>
      <c r="BB43" s="3">
        <f t="shared" si="17"/>
        <v>1.0497907222864513</v>
      </c>
      <c r="BC43" s="3">
        <f t="shared" si="18"/>
        <v>1.0415859556570932</v>
      </c>
      <c r="BD43" s="3">
        <f t="shared" si="20"/>
        <v>1.0458589587479039</v>
      </c>
      <c r="BE43" s="3">
        <f t="shared" si="21"/>
        <v>1.0308655717531474</v>
      </c>
      <c r="BF43" s="3">
        <f t="shared" si="22"/>
        <v>1.0403750342082676</v>
      </c>
      <c r="BH43" s="3">
        <f t="shared" si="23"/>
        <v>1.5775383379175931E-3</v>
      </c>
      <c r="BI43" s="3">
        <f t="shared" si="24"/>
        <v>3.950468998986309E-4</v>
      </c>
      <c r="BJ43" s="3">
        <f t="shared" si="25"/>
        <v>-3.9558387480124121E-3</v>
      </c>
      <c r="BK43" s="3">
        <f t="shared" si="26"/>
        <v>-1.3056683473463324E-2</v>
      </c>
    </row>
    <row r="44" spans="1:63" x14ac:dyDescent="0.2">
      <c r="A44" s="3" t="s">
        <v>51</v>
      </c>
      <c r="B44" s="3">
        <v>78.95</v>
      </c>
      <c r="C44" s="3">
        <v>90.85</v>
      </c>
      <c r="D44" s="3">
        <v>15.473000000000001</v>
      </c>
      <c r="E44" s="3">
        <v>66.7</v>
      </c>
      <c r="F44" s="3">
        <v>52.75</v>
      </c>
      <c r="G44" s="3">
        <v>179.6</v>
      </c>
      <c r="H44" s="3">
        <v>40.408999999999999</v>
      </c>
      <c r="I44" s="3">
        <v>131.19999999999999</v>
      </c>
      <c r="J44" s="3">
        <v>12.3</v>
      </c>
      <c r="K44" s="3">
        <v>92.7</v>
      </c>
      <c r="L44" s="3">
        <v>27942.470702999999</v>
      </c>
      <c r="N44" s="3">
        <f t="shared" si="2"/>
        <v>3.1615581187285358E-3</v>
      </c>
      <c r="O44" s="3">
        <f t="shared" si="3"/>
        <v>-4.4125830008754363E-3</v>
      </c>
      <c r="P44" s="3">
        <f t="shared" si="4"/>
        <v>4.6424740031811851E-3</v>
      </c>
      <c r="Q44" s="3">
        <f t="shared" si="5"/>
        <v>-9.036206063937513E-3</v>
      </c>
      <c r="R44" s="3">
        <f t="shared" si="6"/>
        <v>-4.7506027585977328E-3</v>
      </c>
      <c r="S44" s="3">
        <f t="shared" si="7"/>
        <v>-3.3463500273445135E-3</v>
      </c>
      <c r="T44" s="3">
        <f t="shared" si="8"/>
        <v>0</v>
      </c>
      <c r="U44" s="3">
        <f t="shared" si="9"/>
        <v>-9.1884260544059515E-3</v>
      </c>
      <c r="V44" s="3">
        <f t="shared" si="10"/>
        <v>9.7088141269607853E-3</v>
      </c>
      <c r="W44" s="3">
        <f t="shared" si="11"/>
        <v>-1.850896605495933E-2</v>
      </c>
      <c r="X44" s="3">
        <f t="shared" si="12"/>
        <v>-4.1989601011316324E-4</v>
      </c>
      <c r="Z44" s="5" t="s">
        <v>269</v>
      </c>
      <c r="AA44" s="3">
        <v>0.27238884516301004</v>
      </c>
      <c r="AB44" s="3">
        <v>0.62604279763990445</v>
      </c>
      <c r="AC44" s="3">
        <v>-8.5877739848753465E-2</v>
      </c>
      <c r="AD44" s="3">
        <v>-5.6741389591666754E-2</v>
      </c>
      <c r="AE44" s="3">
        <v>-0.31045806500273671</v>
      </c>
      <c r="AF44" s="3">
        <v>0.18948519399784045</v>
      </c>
      <c r="AG44" s="3">
        <v>-0.56470231067954679</v>
      </c>
      <c r="AH44" s="3">
        <v>-7.5623248844533808E-2</v>
      </c>
      <c r="AI44" s="3">
        <v>-0.19428388505687183</v>
      </c>
      <c r="AJ44" s="3">
        <v>-0.16922620584467354</v>
      </c>
      <c r="AZ44" s="3" t="s">
        <v>49</v>
      </c>
      <c r="BA44" s="3">
        <v>39</v>
      </c>
      <c r="BB44" s="3">
        <f t="shared" si="17"/>
        <v>1.0514481143536927</v>
      </c>
      <c r="BC44" s="3">
        <f t="shared" si="18"/>
        <v>1.0419975122465785</v>
      </c>
      <c r="BD44" s="3">
        <f t="shared" si="20"/>
        <v>1.0417298817199256</v>
      </c>
      <c r="BE44" s="3">
        <f t="shared" si="21"/>
        <v>1.0174933745228136</v>
      </c>
      <c r="BF44" s="3">
        <f t="shared" si="22"/>
        <v>1.0386667429239722</v>
      </c>
      <c r="BH44" s="3">
        <f t="shared" si="23"/>
        <v>5.1407412232829935E-3</v>
      </c>
      <c r="BI44" s="3">
        <f t="shared" si="24"/>
        <v>4.4139690232462211E-3</v>
      </c>
      <c r="BJ44" s="3">
        <f t="shared" si="25"/>
        <v>2.1682257180161077E-3</v>
      </c>
      <c r="BK44" s="3">
        <f t="shared" si="26"/>
        <v>-2.8638994791594947E-3</v>
      </c>
    </row>
    <row r="45" spans="1:63" x14ac:dyDescent="0.2">
      <c r="A45" s="3" t="s">
        <v>52</v>
      </c>
      <c r="B45" s="3">
        <v>79.2</v>
      </c>
      <c r="C45" s="3">
        <v>90.45</v>
      </c>
      <c r="D45" s="3">
        <v>15.545</v>
      </c>
      <c r="E45" s="3">
        <v>66.099999999999994</v>
      </c>
      <c r="F45" s="3">
        <v>52.5</v>
      </c>
      <c r="G45" s="3">
        <v>179</v>
      </c>
      <c r="H45" s="3">
        <v>40.408999999999999</v>
      </c>
      <c r="I45" s="3">
        <v>130</v>
      </c>
      <c r="J45" s="3">
        <v>12.42</v>
      </c>
      <c r="K45" s="3">
        <v>91</v>
      </c>
      <c r="L45" s="3">
        <v>27930.740234000001</v>
      </c>
      <c r="N45" s="3">
        <f t="shared" si="2"/>
        <v>-2.5284463533585821E-3</v>
      </c>
      <c r="O45" s="3">
        <f t="shared" si="3"/>
        <v>5.5263886457623812E-4</v>
      </c>
      <c r="P45" s="3">
        <f t="shared" si="4"/>
        <v>-1.1585995116845105E-3</v>
      </c>
      <c r="Q45" s="3">
        <f t="shared" si="5"/>
        <v>-2.2718676943176419E-3</v>
      </c>
      <c r="R45" s="3">
        <f t="shared" si="6"/>
        <v>-2.8612322810324109E-3</v>
      </c>
      <c r="S45" s="3">
        <f t="shared" si="7"/>
        <v>-2.2371373983558485E-3</v>
      </c>
      <c r="T45" s="3">
        <f t="shared" si="8"/>
        <v>-2.2545130760414089E-3</v>
      </c>
      <c r="U45" s="3">
        <f t="shared" si="9"/>
        <v>3.0721990369704244E-3</v>
      </c>
      <c r="V45" s="3">
        <f t="shared" si="10"/>
        <v>-6.4620580280911888E-3</v>
      </c>
      <c r="W45" s="3">
        <f t="shared" si="11"/>
        <v>1.0929070532190721E-2</v>
      </c>
      <c r="X45" s="3">
        <f t="shared" si="12"/>
        <v>2.1269568980422093E-3</v>
      </c>
      <c r="Z45" s="5" t="s">
        <v>270</v>
      </c>
      <c r="AA45" s="3">
        <v>0.28730271833153681</v>
      </c>
      <c r="AB45" s="3">
        <v>0.55828605318847813</v>
      </c>
      <c r="AC45" s="3">
        <v>-6.6216471030159776E-2</v>
      </c>
      <c r="AD45" s="3">
        <v>-7.2293500297846536E-2</v>
      </c>
      <c r="AE45" s="3">
        <v>0.55604804236940997</v>
      </c>
      <c r="AF45" s="3">
        <v>5.5802215146120979E-2</v>
      </c>
      <c r="AG45" s="3">
        <v>0.48289979898987312</v>
      </c>
      <c r="AH45" s="3">
        <v>-0.21093507294847594</v>
      </c>
      <c r="AI45" s="3">
        <v>7.4306136231538394E-2</v>
      </c>
      <c r="AJ45" s="3">
        <v>2.5540639177058375E-2</v>
      </c>
      <c r="AZ45" s="3" t="s">
        <v>50</v>
      </c>
      <c r="BA45" s="3">
        <v>40</v>
      </c>
      <c r="BB45" s="3">
        <f t="shared" si="17"/>
        <v>1.0568672542829132</v>
      </c>
      <c r="BC45" s="3">
        <f t="shared" si="18"/>
        <v>1.0466070226219704</v>
      </c>
      <c r="BD45" s="3">
        <f t="shared" si="20"/>
        <v>1.0439910377031283</v>
      </c>
      <c r="BE45" s="3">
        <f t="shared" si="21"/>
        <v>1.0145835444966669</v>
      </c>
      <c r="BF45" s="3">
        <f t="shared" si="22"/>
        <v>1.0428607659935678</v>
      </c>
      <c r="BH45" s="3">
        <f t="shared" si="23"/>
        <v>3.6363981465436998E-3</v>
      </c>
      <c r="BI45" s="3">
        <f t="shared" si="24"/>
        <v>2.1917438607654618E-3</v>
      </c>
      <c r="BJ45" s="3">
        <f t="shared" si="25"/>
        <v>-4.8449734123887228E-3</v>
      </c>
      <c r="BK45" s="3">
        <f t="shared" si="26"/>
        <v>-1.6793138249434635E-2</v>
      </c>
    </row>
    <row r="46" spans="1:63" x14ac:dyDescent="0.2">
      <c r="A46" s="3" t="s">
        <v>53</v>
      </c>
      <c r="B46" s="3">
        <v>79</v>
      </c>
      <c r="C46" s="3">
        <v>90.5</v>
      </c>
      <c r="D46" s="3">
        <v>15.526999999999999</v>
      </c>
      <c r="E46" s="3">
        <v>65.95</v>
      </c>
      <c r="F46" s="3">
        <v>52.35</v>
      </c>
      <c r="G46" s="3">
        <v>178.6</v>
      </c>
      <c r="H46" s="3">
        <v>40.317999999999998</v>
      </c>
      <c r="I46" s="3">
        <v>130.4</v>
      </c>
      <c r="J46" s="3">
        <v>12.34</v>
      </c>
      <c r="K46" s="3">
        <v>92</v>
      </c>
      <c r="L46" s="3">
        <v>27990.210938</v>
      </c>
      <c r="N46" s="3">
        <f t="shared" si="2"/>
        <v>-1.2666246151926686E-3</v>
      </c>
      <c r="O46" s="3">
        <f t="shared" si="3"/>
        <v>1.5351178655761188E-2</v>
      </c>
      <c r="P46" s="3">
        <f t="shared" si="4"/>
        <v>1.5148415333724685E-2</v>
      </c>
      <c r="Q46" s="3">
        <f t="shared" si="5"/>
        <v>-1.5174509740329967E-3</v>
      </c>
      <c r="R46" s="3">
        <f t="shared" si="6"/>
        <v>1.9083975257605523E-3</v>
      </c>
      <c r="S46" s="3">
        <f t="shared" si="7"/>
        <v>3.9117121686880196E-3</v>
      </c>
      <c r="T46" s="3">
        <f t="shared" si="8"/>
        <v>8.9877148220636194E-3</v>
      </c>
      <c r="U46" s="3">
        <f t="shared" si="9"/>
        <v>6.1162270174355271E-3</v>
      </c>
      <c r="V46" s="3">
        <f t="shared" si="10"/>
        <v>9.6774948820654849E-3</v>
      </c>
      <c r="W46" s="3">
        <f t="shared" si="11"/>
        <v>-9.8307727831281611E-3</v>
      </c>
      <c r="X46" s="3">
        <f t="shared" si="12"/>
        <v>-1.5693012428865671E-3</v>
      </c>
      <c r="Z46" s="5" t="s">
        <v>271</v>
      </c>
      <c r="AA46" s="3">
        <v>0.2989256097225354</v>
      </c>
      <c r="AB46" s="3">
        <v>-0.11355579448402661</v>
      </c>
      <c r="AC46" s="3">
        <v>0.6842174685245529</v>
      </c>
      <c r="AD46" s="3">
        <v>0.21726870665996928</v>
      </c>
      <c r="AE46" s="3">
        <v>-0.27851205945066021</v>
      </c>
      <c r="AF46" s="3">
        <v>0.35214199960013121</v>
      </c>
      <c r="AG46" s="3">
        <v>0.25670275177241059</v>
      </c>
      <c r="AH46" s="3">
        <v>-0.29367544603325912</v>
      </c>
      <c r="AI46" s="3">
        <v>-0.16870939929355705</v>
      </c>
      <c r="AJ46" s="3">
        <v>1.455813659392243E-2</v>
      </c>
      <c r="AZ46" s="3" t="s">
        <v>51</v>
      </c>
      <c r="BA46" s="3">
        <v>41</v>
      </c>
      <c r="BB46" s="3">
        <f t="shared" si="17"/>
        <v>1.0607174405699602</v>
      </c>
      <c r="BC46" s="3">
        <f t="shared" si="18"/>
        <v>1.0489034327906006</v>
      </c>
      <c r="BD46" s="3">
        <f t="shared" si="20"/>
        <v>1.0389451623191948</v>
      </c>
      <c r="BE46" s="3">
        <f t="shared" si="21"/>
        <v>0.9976877663993271</v>
      </c>
      <c r="BF46" s="3">
        <f t="shared" si="22"/>
        <v>1.0541643431578749</v>
      </c>
      <c r="BH46" s="3">
        <f t="shared" si="23"/>
        <v>-3.0761186356076595E-3</v>
      </c>
      <c r="BI46" s="3">
        <f t="shared" si="24"/>
        <v>-3.2964487065546694E-3</v>
      </c>
      <c r="BJ46" s="3">
        <f t="shared" si="25"/>
        <v>-3.0662329563509172E-4</v>
      </c>
      <c r="BK46" s="3">
        <f t="shared" si="26"/>
        <v>3.1424366391857913E-3</v>
      </c>
    </row>
    <row r="47" spans="1:63" x14ac:dyDescent="0.2">
      <c r="A47" s="3" t="s">
        <v>54</v>
      </c>
      <c r="B47" s="3">
        <v>78.900000000000006</v>
      </c>
      <c r="C47" s="3">
        <v>91.9</v>
      </c>
      <c r="D47" s="3">
        <v>15.763999999999999</v>
      </c>
      <c r="E47" s="3">
        <v>65.849999999999994</v>
      </c>
      <c r="F47" s="3">
        <v>52.45</v>
      </c>
      <c r="G47" s="3">
        <v>179.3</v>
      </c>
      <c r="H47" s="3">
        <v>40.682000000000002</v>
      </c>
      <c r="I47" s="3">
        <v>131.19999999999999</v>
      </c>
      <c r="J47" s="3">
        <v>12.46</v>
      </c>
      <c r="K47" s="3">
        <v>91.1</v>
      </c>
      <c r="L47" s="3">
        <v>27946.320313</v>
      </c>
      <c r="N47" s="3">
        <f t="shared" si="2"/>
        <v>2.1937576719389007E-2</v>
      </c>
      <c r="O47" s="3">
        <f t="shared" si="3"/>
        <v>2.1739138996190732E-3</v>
      </c>
      <c r="P47" s="3">
        <f t="shared" si="4"/>
        <v>9.1561274903453338E-3</v>
      </c>
      <c r="Q47" s="3">
        <f t="shared" si="5"/>
        <v>2.2753138371349735E-3</v>
      </c>
      <c r="R47" s="3">
        <f t="shared" si="6"/>
        <v>9.4877372051094255E-3</v>
      </c>
      <c r="S47" s="3">
        <f t="shared" si="7"/>
        <v>7.2242603717977971E-3</v>
      </c>
      <c r="T47" s="3">
        <f t="shared" si="8"/>
        <v>2.2343634610249019E-3</v>
      </c>
      <c r="U47" s="3">
        <f t="shared" si="9"/>
        <v>6.8363350182911731E-3</v>
      </c>
      <c r="V47" s="3">
        <f t="shared" si="10"/>
        <v>1.6038495819743481E-3</v>
      </c>
      <c r="W47" s="3">
        <f t="shared" si="11"/>
        <v>4.9274668546077649E-3</v>
      </c>
      <c r="X47" s="3">
        <f t="shared" si="12"/>
        <v>7.0429589401896919E-3</v>
      </c>
      <c r="Z47" s="5" t="s">
        <v>272</v>
      </c>
      <c r="AA47" s="3">
        <v>0.27627927046943457</v>
      </c>
      <c r="AB47" s="3">
        <v>7.6836830057155185E-3</v>
      </c>
      <c r="AC47" s="3">
        <v>-0.45075786111268101</v>
      </c>
      <c r="AD47" s="3">
        <v>0.75430659188936255</v>
      </c>
      <c r="AE47" s="3">
        <v>-0.26223730146752083</v>
      </c>
      <c r="AF47" s="3">
        <v>-8.2034103637420683E-2</v>
      </c>
      <c r="AG47" s="3">
        <v>0.23857582465559671</v>
      </c>
      <c r="AH47" s="3">
        <v>0.1197538057675543</v>
      </c>
      <c r="AI47" s="3">
        <v>3.9054613712645715E-2</v>
      </c>
      <c r="AJ47" s="3">
        <v>-5.6275966477730831E-2</v>
      </c>
      <c r="AZ47" s="3" t="s">
        <v>52</v>
      </c>
      <c r="BA47" s="3">
        <v>42</v>
      </c>
      <c r="BB47" s="3">
        <f t="shared" si="17"/>
        <v>1.0574595612645057</v>
      </c>
      <c r="BC47" s="3">
        <f t="shared" si="18"/>
        <v>1.045451469162713</v>
      </c>
      <c r="BD47" s="3">
        <f t="shared" si="20"/>
        <v>1.0386266463642417</v>
      </c>
      <c r="BE47" s="3">
        <f t="shared" si="21"/>
        <v>1.0008278681923728</v>
      </c>
      <c r="BF47" s="3">
        <f t="shared" si="22"/>
        <v>1.0537217966744321</v>
      </c>
      <c r="BH47" s="3">
        <f t="shared" si="23"/>
        <v>-5.0641297306123351E-4</v>
      </c>
      <c r="BI47" s="3">
        <f t="shared" si="24"/>
        <v>-6.530247297760472E-4</v>
      </c>
      <c r="BJ47" s="3">
        <f t="shared" si="25"/>
        <v>-1.9556091895591016E-3</v>
      </c>
      <c r="BK47" s="3">
        <f t="shared" si="26"/>
        <v>-3.977632307610471E-3</v>
      </c>
    </row>
    <row r="48" spans="1:63" x14ac:dyDescent="0.2">
      <c r="A48" s="3" t="s">
        <v>55</v>
      </c>
      <c r="B48" s="3">
        <v>80.650000000000006</v>
      </c>
      <c r="C48" s="3">
        <v>92.1</v>
      </c>
      <c r="D48" s="3">
        <v>15.909000000000001</v>
      </c>
      <c r="E48" s="3">
        <v>66</v>
      </c>
      <c r="F48" s="3">
        <v>52.95</v>
      </c>
      <c r="G48" s="3">
        <v>180.6</v>
      </c>
      <c r="H48" s="3">
        <v>40.773000000000003</v>
      </c>
      <c r="I48" s="3">
        <v>132.1</v>
      </c>
      <c r="J48" s="3">
        <v>12.48</v>
      </c>
      <c r="K48" s="3">
        <v>91.55</v>
      </c>
      <c r="L48" s="3">
        <v>28143.839843999998</v>
      </c>
      <c r="N48" s="3">
        <f t="shared" si="2"/>
        <v>-1.6250357598799781E-2</v>
      </c>
      <c r="O48" s="3">
        <f t="shared" si="3"/>
        <v>-5.4303558217405623E-4</v>
      </c>
      <c r="P48" s="3">
        <f t="shared" si="4"/>
        <v>1.5901560393124736E-2</v>
      </c>
      <c r="Q48" s="3">
        <f t="shared" si="5"/>
        <v>3.7807228399060477E-3</v>
      </c>
      <c r="R48" s="3">
        <f t="shared" si="6"/>
        <v>7.5259057003465024E-3</v>
      </c>
      <c r="S48" s="3">
        <f t="shared" si="7"/>
        <v>5.5218251843083266E-3</v>
      </c>
      <c r="T48" s="3">
        <f t="shared" si="8"/>
        <v>-2.2343634610249019E-3</v>
      </c>
      <c r="U48" s="3">
        <f t="shared" si="9"/>
        <v>1.5128595926308108E-3</v>
      </c>
      <c r="V48" s="3">
        <f t="shared" si="10"/>
        <v>0</v>
      </c>
      <c r="W48" s="3">
        <f t="shared" si="11"/>
        <v>1.0323373397859825E-2</v>
      </c>
      <c r="X48" s="3">
        <f t="shared" si="12"/>
        <v>9.7629950230526674E-4</v>
      </c>
      <c r="Z48" s="5" t="s">
        <v>273</v>
      </c>
      <c r="AA48" s="3">
        <v>0.34187639488590671</v>
      </c>
      <c r="AB48" s="3">
        <v>0.12948964914049038</v>
      </c>
      <c r="AC48" s="3">
        <v>0.44989424922149368</v>
      </c>
      <c r="AD48" s="3">
        <v>1.4127832457715052E-2</v>
      </c>
      <c r="AE48" s="3">
        <v>-9.7793809850536696E-3</v>
      </c>
      <c r="AF48" s="3">
        <v>-0.70094951941847949</v>
      </c>
      <c r="AG48" s="3">
        <v>-7.4528725695085632E-2</v>
      </c>
      <c r="AH48" s="3">
        <v>0.33888720846877424</v>
      </c>
      <c r="AI48" s="3">
        <v>0.2020513645479457</v>
      </c>
      <c r="AJ48" s="3">
        <v>-0.10535103347446029</v>
      </c>
      <c r="AZ48" s="3" t="s">
        <v>53</v>
      </c>
      <c r="BA48" s="3">
        <v>43</v>
      </c>
      <c r="BB48" s="3">
        <f t="shared" si="17"/>
        <v>1.0569241855962273</v>
      </c>
      <c r="BC48" s="3">
        <f t="shared" si="18"/>
        <v>1.0447689863628953</v>
      </c>
      <c r="BD48" s="3">
        <f t="shared" si="20"/>
        <v>1.0365974833217328</v>
      </c>
      <c r="BE48" s="3">
        <f t="shared" si="21"/>
        <v>0.99685484977098704</v>
      </c>
      <c r="BF48" s="3">
        <f t="shared" si="22"/>
        <v>1.0559654026993124</v>
      </c>
      <c r="BH48" s="3">
        <f t="shared" si="23"/>
        <v>5.0901564341354344E-3</v>
      </c>
      <c r="BI48" s="3">
        <f t="shared" si="24"/>
        <v>5.0951997906175453E-3</v>
      </c>
      <c r="BJ48" s="3">
        <f t="shared" si="25"/>
        <v>9.9288794327361402E-3</v>
      </c>
      <c r="BK48" s="3">
        <f t="shared" si="26"/>
        <v>1.5420620437583762E-2</v>
      </c>
    </row>
    <row r="49" spans="1:63" x14ac:dyDescent="0.2">
      <c r="A49" s="3" t="s">
        <v>56</v>
      </c>
      <c r="B49" s="3">
        <v>79.349999999999994</v>
      </c>
      <c r="C49" s="3">
        <v>92.05</v>
      </c>
      <c r="D49" s="3">
        <v>16.164000000000001</v>
      </c>
      <c r="E49" s="3">
        <v>66.25</v>
      </c>
      <c r="F49" s="3">
        <v>53.35</v>
      </c>
      <c r="G49" s="3">
        <v>181.6</v>
      </c>
      <c r="H49" s="3">
        <v>40.682000000000002</v>
      </c>
      <c r="I49" s="3">
        <v>132.30000000000001</v>
      </c>
      <c r="J49" s="3">
        <v>12.48</v>
      </c>
      <c r="K49" s="3">
        <v>92.5</v>
      </c>
      <c r="L49" s="3">
        <v>28171.330077999999</v>
      </c>
      <c r="N49" s="3">
        <f t="shared" si="2"/>
        <v>1.1278315037706932E-2</v>
      </c>
      <c r="O49" s="3">
        <f t="shared" si="3"/>
        <v>1.0805075409172638E-2</v>
      </c>
      <c r="P49" s="3">
        <f t="shared" si="4"/>
        <v>7.8262608678052459E-3</v>
      </c>
      <c r="Q49" s="3">
        <f t="shared" si="5"/>
        <v>1.2748579111304892E-2</v>
      </c>
      <c r="R49" s="3">
        <f t="shared" si="6"/>
        <v>0</v>
      </c>
      <c r="S49" s="3">
        <f t="shared" si="7"/>
        <v>1.9089753412258936E-2</v>
      </c>
      <c r="T49" s="3">
        <f t="shared" si="8"/>
        <v>1.3307647339650064E-2</v>
      </c>
      <c r="U49" s="3">
        <f t="shared" si="9"/>
        <v>5.2770571008435851E-3</v>
      </c>
      <c r="V49" s="3">
        <f t="shared" si="10"/>
        <v>1.5898586067798259E-2</v>
      </c>
      <c r="W49" s="3">
        <f t="shared" si="11"/>
        <v>-2.1645030095731599E-3</v>
      </c>
      <c r="X49" s="3">
        <f t="shared" si="12"/>
        <v>1.1514719931360773E-2</v>
      </c>
      <c r="Z49" s="5" t="s">
        <v>274</v>
      </c>
      <c r="AA49" s="3">
        <v>0.35845327544528666</v>
      </c>
      <c r="AB49" s="3">
        <v>-6.5273387846608161E-2</v>
      </c>
      <c r="AC49" s="3">
        <v>-6.1686027597552137E-2</v>
      </c>
      <c r="AD49" s="3">
        <v>-0.25603360522017066</v>
      </c>
      <c r="AE49" s="3">
        <v>-2.5381819501796511E-2</v>
      </c>
      <c r="AF49" s="3">
        <v>0.35829606822239102</v>
      </c>
      <c r="AG49" s="3">
        <v>0.12061391758554919</v>
      </c>
      <c r="AH49" s="3">
        <v>0.71697602734891386</v>
      </c>
      <c r="AI49" s="3">
        <v>-0.14584732713758675</v>
      </c>
      <c r="AJ49" s="3">
        <v>0.3449611110725081</v>
      </c>
      <c r="AZ49" s="3" t="s">
        <v>54</v>
      </c>
      <c r="BA49" s="3">
        <v>44</v>
      </c>
      <c r="BB49" s="3">
        <f t="shared" si="17"/>
        <v>1.0623178105918285</v>
      </c>
      <c r="BC49" s="3">
        <f t="shared" si="18"/>
        <v>1.0501058778015837</v>
      </c>
      <c r="BD49" s="3">
        <f t="shared" si="20"/>
        <v>1.0469409995425178</v>
      </c>
      <c r="BE49" s="3">
        <f t="shared" si="21"/>
        <v>1.0123461054495615</v>
      </c>
      <c r="BF49" s="3">
        <f t="shared" si="22"/>
        <v>1.0543095744668811</v>
      </c>
      <c r="BH49" s="3">
        <f t="shared" si="23"/>
        <v>6.6014309868273544E-3</v>
      </c>
      <c r="BI49" s="3">
        <f t="shared" si="24"/>
        <v>6.9232047281271927E-3</v>
      </c>
      <c r="BJ49" s="3">
        <f t="shared" si="25"/>
        <v>8.5278710226619481E-3</v>
      </c>
      <c r="BK49" s="3">
        <f t="shared" si="26"/>
        <v>1.2092982931149852E-2</v>
      </c>
    </row>
    <row r="50" spans="1:63" x14ac:dyDescent="0.2">
      <c r="A50" s="3" t="s">
        <v>57</v>
      </c>
      <c r="B50" s="3">
        <v>80.25</v>
      </c>
      <c r="C50" s="3">
        <v>93.05</v>
      </c>
      <c r="D50" s="3">
        <v>16.291</v>
      </c>
      <c r="E50" s="3">
        <v>67.099999999999994</v>
      </c>
      <c r="F50" s="3">
        <v>53.35</v>
      </c>
      <c r="G50" s="3">
        <v>185.1</v>
      </c>
      <c r="H50" s="3">
        <v>41.226999999999997</v>
      </c>
      <c r="I50" s="3">
        <v>133</v>
      </c>
      <c r="J50" s="3">
        <v>12.68</v>
      </c>
      <c r="K50" s="3">
        <v>92.3</v>
      </c>
      <c r="L50" s="3">
        <v>28497.589843999998</v>
      </c>
      <c r="N50" s="3">
        <f t="shared" si="2"/>
        <v>9.3023926623141406E-3</v>
      </c>
      <c r="O50" s="3">
        <f t="shared" si="3"/>
        <v>1.2283198494057679E-2</v>
      </c>
      <c r="P50" s="3">
        <f t="shared" si="4"/>
        <v>-9.0024038737941403E-3</v>
      </c>
      <c r="Q50" s="3">
        <f t="shared" si="5"/>
        <v>1.4892035514675328E-3</v>
      </c>
      <c r="R50" s="3">
        <f t="shared" si="6"/>
        <v>0</v>
      </c>
      <c r="S50" s="3">
        <f t="shared" si="7"/>
        <v>2.15866246803742E-3</v>
      </c>
      <c r="T50" s="3">
        <f t="shared" si="8"/>
        <v>0</v>
      </c>
      <c r="U50" s="3">
        <f t="shared" si="9"/>
        <v>6.7441244753734253E-3</v>
      </c>
      <c r="V50" s="3">
        <f t="shared" si="10"/>
        <v>-6.3291350516476719E-3</v>
      </c>
      <c r="W50" s="3">
        <f t="shared" si="11"/>
        <v>3.7848112225624675E-3</v>
      </c>
      <c r="X50" s="3">
        <f t="shared" si="12"/>
        <v>-2.3024593598020004E-3</v>
      </c>
      <c r="Z50" s="5" t="s">
        <v>275</v>
      </c>
      <c r="AA50" s="3">
        <v>0.36270764216794532</v>
      </c>
      <c r="AB50" s="3">
        <v>-0.16778754565581402</v>
      </c>
      <c r="AC50" s="3">
        <v>-0.16772172850664654</v>
      </c>
      <c r="AD50" s="3">
        <v>-0.26778032608286328</v>
      </c>
      <c r="AE50" s="3">
        <v>-0.24458644560750273</v>
      </c>
      <c r="AF50" s="3">
        <v>9.6853120607781867E-2</v>
      </c>
      <c r="AG50" s="3">
        <v>-6.1657500887445982E-2</v>
      </c>
      <c r="AH50" s="3">
        <v>-0.28204093187225027</v>
      </c>
      <c r="AI50" s="3">
        <v>0.74809964348296443</v>
      </c>
      <c r="AJ50" s="3">
        <v>0.16807366537532709</v>
      </c>
      <c r="AZ50" s="3" t="s">
        <v>55</v>
      </c>
      <c r="BA50" s="3">
        <v>45</v>
      </c>
      <c r="BB50" s="3">
        <f t="shared" si="17"/>
        <v>1.0693538266399136</v>
      </c>
      <c r="BC50" s="3">
        <f t="shared" si="18"/>
        <v>1.0574012001457125</v>
      </c>
      <c r="BD50" s="3">
        <f t="shared" si="20"/>
        <v>1.0559073549768234</v>
      </c>
      <c r="BE50" s="3">
        <f t="shared" si="21"/>
        <v>1.0246627117799885</v>
      </c>
      <c r="BF50" s="3">
        <f t="shared" si="22"/>
        <v>1.0617612436077601</v>
      </c>
      <c r="BH50" s="3">
        <f t="shared" si="23"/>
        <v>2.6533697328867817E-3</v>
      </c>
      <c r="BI50" s="3">
        <f t="shared" si="24"/>
        <v>3.1575382796992513E-3</v>
      </c>
      <c r="BJ50" s="3">
        <f t="shared" si="25"/>
        <v>5.0174972892135516E-3</v>
      </c>
      <c r="BK50" s="3">
        <f t="shared" si="26"/>
        <v>8.0429549538353802E-3</v>
      </c>
    </row>
    <row r="51" spans="1:63" x14ac:dyDescent="0.2">
      <c r="A51" s="3" t="s">
        <v>58</v>
      </c>
      <c r="B51" s="3">
        <v>81</v>
      </c>
      <c r="C51" s="3">
        <v>94.2</v>
      </c>
      <c r="D51" s="3">
        <v>16.145</v>
      </c>
      <c r="E51" s="3">
        <v>67.2</v>
      </c>
      <c r="F51" s="3">
        <v>53.35</v>
      </c>
      <c r="G51" s="3">
        <v>185.5</v>
      </c>
      <c r="H51" s="3">
        <v>41.226999999999997</v>
      </c>
      <c r="I51" s="3">
        <v>133.9</v>
      </c>
      <c r="J51" s="3">
        <v>12.6</v>
      </c>
      <c r="K51" s="3">
        <v>92.65</v>
      </c>
      <c r="L51" s="3">
        <v>28432.050781000002</v>
      </c>
      <c r="N51" s="3">
        <f t="shared" si="2"/>
        <v>-1.6179568876269812E-2</v>
      </c>
      <c r="O51" s="3">
        <f t="shared" si="3"/>
        <v>-2.1253993123133696E-3</v>
      </c>
      <c r="P51" s="3">
        <f t="shared" si="4"/>
        <v>-1.1274217023750754E-2</v>
      </c>
      <c r="Q51" s="3">
        <f t="shared" si="5"/>
        <v>-1.272948675088692E-2</v>
      </c>
      <c r="R51" s="3">
        <f t="shared" si="6"/>
        <v>-5.6391126877701758E-3</v>
      </c>
      <c r="S51" s="3">
        <f t="shared" si="7"/>
        <v>-1.5209418663528318E-2</v>
      </c>
      <c r="T51" s="3">
        <f t="shared" si="8"/>
        <v>-1.4439008290646704E-2</v>
      </c>
      <c r="U51" s="3">
        <f t="shared" si="9"/>
        <v>-1.1265609194219373E-2</v>
      </c>
      <c r="V51" s="3">
        <f t="shared" si="10"/>
        <v>-6.3694482854796952E-3</v>
      </c>
      <c r="W51" s="3">
        <f t="shared" si="11"/>
        <v>-1.6871148465456898E-2</v>
      </c>
      <c r="X51" s="3">
        <f t="shared" si="12"/>
        <v>-1.8860267151879384E-2</v>
      </c>
      <c r="Z51" s="5" t="s">
        <v>276</v>
      </c>
      <c r="AA51" s="3">
        <v>0.34806790525818582</v>
      </c>
      <c r="AB51" s="3">
        <v>-0.22227313792553774</v>
      </c>
      <c r="AC51" s="3">
        <v>-0.24756342236273765</v>
      </c>
      <c r="AD51" s="3">
        <v>-0.26067012979622434</v>
      </c>
      <c r="AE51" s="3">
        <v>-9.9417028445405536E-2</v>
      </c>
      <c r="AF51" s="3">
        <v>-0.41617713104599963</v>
      </c>
      <c r="AG51" s="3">
        <v>4.8921141413223547E-2</v>
      </c>
      <c r="AH51" s="3">
        <v>-0.3638810608876159</v>
      </c>
      <c r="AI51" s="3">
        <v>-0.54486614743289663</v>
      </c>
      <c r="AJ51" s="3">
        <v>0.29229753284478988</v>
      </c>
      <c r="AZ51" s="3" t="s">
        <v>56</v>
      </c>
      <c r="BA51" s="3">
        <v>46</v>
      </c>
      <c r="BB51" s="3">
        <f t="shared" si="17"/>
        <v>1.0721949853726598</v>
      </c>
      <c r="BC51" s="3">
        <f t="shared" si="18"/>
        <v>1.0607452616348827</v>
      </c>
      <c r="BD51" s="3">
        <f t="shared" si="20"/>
        <v>1.0612186809069706</v>
      </c>
      <c r="BE51" s="3">
        <f t="shared" si="21"/>
        <v>1.032937259113389</v>
      </c>
      <c r="BF51" s="3">
        <f t="shared" si="22"/>
        <v>1.0627983467607307</v>
      </c>
      <c r="BH51" s="3">
        <f t="shared" si="23"/>
        <v>9.415169706613491E-3</v>
      </c>
      <c r="BI51" s="3">
        <f t="shared" si="24"/>
        <v>8.9814744553502746E-3</v>
      </c>
      <c r="BJ51" s="3">
        <f t="shared" si="25"/>
        <v>6.2103796768499045E-3</v>
      </c>
      <c r="BK51" s="3">
        <f t="shared" si="26"/>
        <v>6.4352961034174622E-4</v>
      </c>
    </row>
    <row r="52" spans="1:63" x14ac:dyDescent="0.2">
      <c r="A52" s="3" t="s">
        <v>59</v>
      </c>
      <c r="B52" s="3">
        <v>79.7</v>
      </c>
      <c r="C52" s="3">
        <v>94</v>
      </c>
      <c r="D52" s="3">
        <v>15.964</v>
      </c>
      <c r="E52" s="3">
        <v>66.349999999999994</v>
      </c>
      <c r="F52" s="3">
        <v>53.05</v>
      </c>
      <c r="G52" s="3">
        <v>182.7</v>
      </c>
      <c r="H52" s="3">
        <v>40.636000000000003</v>
      </c>
      <c r="I52" s="3">
        <v>132.4</v>
      </c>
      <c r="J52" s="3">
        <v>12.52</v>
      </c>
      <c r="K52" s="3">
        <v>91.1</v>
      </c>
      <c r="L52" s="3">
        <v>27900.839843999998</v>
      </c>
      <c r="N52" s="3">
        <f t="shared" si="2"/>
        <v>1.8029708164431391E-2</v>
      </c>
      <c r="O52" s="3">
        <f t="shared" si="3"/>
        <v>5.317734770358129E-4</v>
      </c>
      <c r="P52" s="3">
        <f t="shared" si="4"/>
        <v>4.5000075937728923E-3</v>
      </c>
      <c r="Q52" s="3">
        <f t="shared" si="5"/>
        <v>2.0142419140012358E-2</v>
      </c>
      <c r="R52" s="3">
        <f t="shared" si="6"/>
        <v>2.8235312876065954E-3</v>
      </c>
      <c r="S52" s="3">
        <f t="shared" si="7"/>
        <v>1.5748356968138921E-2</v>
      </c>
      <c r="T52" s="3">
        <f t="shared" si="8"/>
        <v>4.4687873616799934E-3</v>
      </c>
      <c r="U52" s="3">
        <f t="shared" si="9"/>
        <v>8.2738343373964796E-3</v>
      </c>
      <c r="V52" s="3">
        <f t="shared" si="10"/>
        <v>7.9554914411148481E-3</v>
      </c>
      <c r="W52" s="3">
        <f t="shared" si="11"/>
        <v>-7.7135368677812011E-3</v>
      </c>
      <c r="X52" s="3">
        <f t="shared" si="12"/>
        <v>1.5864758674963397E-2</v>
      </c>
      <c r="Z52" s="5" t="s">
        <v>277</v>
      </c>
      <c r="AA52" s="3">
        <v>0.28939656450712098</v>
      </c>
      <c r="AB52" s="3">
        <v>-0.31389639881826931</v>
      </c>
      <c r="AC52" s="3">
        <v>-0.13528129188782986</v>
      </c>
      <c r="AD52" s="3">
        <v>-0.23325561081346197</v>
      </c>
      <c r="AE52" s="3">
        <v>9.8809907860084645E-2</v>
      </c>
      <c r="AF52" s="3">
        <v>0.10597637917109128</v>
      </c>
      <c r="AG52" s="3">
        <v>9.2352636445003078E-2</v>
      </c>
      <c r="AH52" s="3">
        <v>5.2375467811178487E-2</v>
      </c>
      <c r="AI52" s="3">
        <v>-9.0000530631378486E-2</v>
      </c>
      <c r="AJ52" s="3">
        <v>-0.83943003634332169</v>
      </c>
      <c r="AZ52" s="3" t="s">
        <v>57</v>
      </c>
      <c r="BA52" s="3">
        <v>47</v>
      </c>
      <c r="BB52" s="3">
        <f t="shared" si="17"/>
        <v>1.082337555202374</v>
      </c>
      <c r="BC52" s="3">
        <f t="shared" si="18"/>
        <v>1.0703152299874987</v>
      </c>
      <c r="BD52" s="3">
        <f t="shared" si="20"/>
        <v>1.0678297592403891</v>
      </c>
      <c r="BE52" s="3">
        <f t="shared" si="21"/>
        <v>1.0336021987564807</v>
      </c>
      <c r="BF52" s="3">
        <f t="shared" si="22"/>
        <v>1.0751069008460108</v>
      </c>
      <c r="BH52" s="3">
        <f t="shared" si="23"/>
        <v>1.8966202079412769E-3</v>
      </c>
      <c r="BI52" s="3">
        <f t="shared" si="24"/>
        <v>1.9689437513358554E-3</v>
      </c>
      <c r="BJ52" s="3">
        <f t="shared" si="25"/>
        <v>1.5139072121459207E-3</v>
      </c>
      <c r="BK52" s="3">
        <f t="shared" si="26"/>
        <v>1.2353843505196957E-3</v>
      </c>
    </row>
    <row r="53" spans="1:63" x14ac:dyDescent="0.2">
      <c r="A53" s="3" t="s">
        <v>60</v>
      </c>
      <c r="B53" s="3">
        <v>81.150000000000006</v>
      </c>
      <c r="C53" s="3">
        <v>94.05</v>
      </c>
      <c r="D53" s="3">
        <v>16.036000000000001</v>
      </c>
      <c r="E53" s="3">
        <v>67.7</v>
      </c>
      <c r="F53" s="3">
        <v>53.2</v>
      </c>
      <c r="G53" s="3">
        <v>185.6</v>
      </c>
      <c r="H53" s="3">
        <v>40.817999999999998</v>
      </c>
      <c r="I53" s="3">
        <v>133.5</v>
      </c>
      <c r="J53" s="3">
        <v>12.62</v>
      </c>
      <c r="K53" s="3">
        <v>90.4</v>
      </c>
      <c r="L53" s="3">
        <v>28347.009765999999</v>
      </c>
      <c r="N53" s="3">
        <f t="shared" si="2"/>
        <v>3.0759790478942506E-3</v>
      </c>
      <c r="O53" s="3">
        <f t="shared" si="3"/>
        <v>6.8874444449926742E-3</v>
      </c>
      <c r="P53" s="3">
        <f t="shared" si="4"/>
        <v>-3.3731058279893311E-3</v>
      </c>
      <c r="Q53" s="3">
        <f t="shared" si="5"/>
        <v>-2.3161289357264359E-2</v>
      </c>
      <c r="R53" s="3">
        <f t="shared" si="6"/>
        <v>0</v>
      </c>
      <c r="S53" s="3">
        <f t="shared" si="7"/>
        <v>3.2275444908664852E-3</v>
      </c>
      <c r="T53" s="3">
        <f t="shared" si="8"/>
        <v>-2.231897425356788E-3</v>
      </c>
      <c r="U53" s="3">
        <f t="shared" si="9"/>
        <v>-3.7523496185505323E-3</v>
      </c>
      <c r="V53" s="3">
        <f t="shared" si="10"/>
        <v>1.8838861696405917E-2</v>
      </c>
      <c r="W53" s="3">
        <f t="shared" si="11"/>
        <v>4.9655274440487673E-3</v>
      </c>
      <c r="X53" s="3">
        <f t="shared" si="12"/>
        <v>-4.2025200697128895E-3</v>
      </c>
      <c r="AZ53" s="3" t="s">
        <v>58</v>
      </c>
      <c r="BA53" s="3">
        <v>48</v>
      </c>
      <c r="BB53" s="3">
        <f t="shared" si="17"/>
        <v>1.0843922863877942</v>
      </c>
      <c r="BC53" s="3">
        <f t="shared" si="18"/>
        <v>1.0724246965005093</v>
      </c>
      <c r="BD53" s="3">
        <f t="shared" si="20"/>
        <v>1.0694475787195439</v>
      </c>
      <c r="BE53" s="3">
        <f t="shared" si="21"/>
        <v>1.034879883791038</v>
      </c>
      <c r="BF53" s="3">
        <f t="shared" si="22"/>
        <v>1.0726343584558651</v>
      </c>
      <c r="BH53" s="3">
        <f t="shared" si="23"/>
        <v>-1.1113531021726047E-2</v>
      </c>
      <c r="BI53" s="3">
        <f t="shared" si="24"/>
        <v>-1.0766176952279771E-2</v>
      </c>
      <c r="BJ53" s="3">
        <f t="shared" si="25"/>
        <v>-6.5674059541053278E-3</v>
      </c>
      <c r="BK53" s="3">
        <f t="shared" si="26"/>
        <v>-1.3116766511284128E-4</v>
      </c>
    </row>
    <row r="54" spans="1:63" x14ac:dyDescent="0.2">
      <c r="A54" s="3" t="s">
        <v>61</v>
      </c>
      <c r="B54" s="3">
        <v>81.400000000000006</v>
      </c>
      <c r="C54" s="3">
        <v>94.7</v>
      </c>
      <c r="D54" s="3">
        <v>15.981999999999999</v>
      </c>
      <c r="E54" s="3">
        <v>66.150000000000006</v>
      </c>
      <c r="F54" s="3">
        <v>53.2</v>
      </c>
      <c r="G54" s="3">
        <v>186.2</v>
      </c>
      <c r="H54" s="3">
        <v>40.726999999999997</v>
      </c>
      <c r="I54" s="3">
        <v>133</v>
      </c>
      <c r="J54" s="3">
        <v>12.86</v>
      </c>
      <c r="K54" s="3">
        <v>90.85</v>
      </c>
      <c r="L54" s="3">
        <v>28228.130859000001</v>
      </c>
      <c r="N54" s="3">
        <f t="shared" si="2"/>
        <v>9.7800290536396162E-3</v>
      </c>
      <c r="O54" s="3">
        <f t="shared" si="3"/>
        <v>9.9816956942300195E-3</v>
      </c>
      <c r="P54" s="3">
        <f t="shared" si="4"/>
        <v>1.5767910024380161E-2</v>
      </c>
      <c r="Q54" s="3">
        <f t="shared" si="5"/>
        <v>-1.5128595926308108E-3</v>
      </c>
      <c r="R54" s="3">
        <f t="shared" si="6"/>
        <v>0</v>
      </c>
      <c r="S54" s="3">
        <f t="shared" si="7"/>
        <v>1.1745997299295929E-2</v>
      </c>
      <c r="T54" s="3">
        <f t="shared" si="8"/>
        <v>1.1288344756983371E-3</v>
      </c>
      <c r="U54" s="3">
        <f t="shared" si="9"/>
        <v>1.0471299867295336E-2</v>
      </c>
      <c r="V54" s="3">
        <f t="shared" si="10"/>
        <v>9.2879924664708291E-3</v>
      </c>
      <c r="W54" s="3">
        <f t="shared" si="11"/>
        <v>1.6375911803068632E-2</v>
      </c>
      <c r="X54" s="3">
        <f t="shared" si="12"/>
        <v>1.0077946729820653E-2</v>
      </c>
      <c r="Z54" s="4" t="s">
        <v>265</v>
      </c>
      <c r="AZ54" s="3" t="s">
        <v>59</v>
      </c>
      <c r="BA54" s="3">
        <v>49</v>
      </c>
      <c r="BB54" s="3">
        <f t="shared" si="17"/>
        <v>1.0724075786369125</v>
      </c>
      <c r="BC54" s="3">
        <f t="shared" si="18"/>
        <v>1.0609407126770116</v>
      </c>
      <c r="BD54" s="3">
        <f t="shared" si="20"/>
        <v>1.0624470949940739</v>
      </c>
      <c r="BE54" s="3">
        <f t="shared" si="21"/>
        <v>1.0347441499151513</v>
      </c>
      <c r="BF54" s="3">
        <f t="shared" si="22"/>
        <v>1.0525937673988701</v>
      </c>
      <c r="BH54" s="3">
        <f t="shared" si="23"/>
        <v>7.3072987402654915E-3</v>
      </c>
      <c r="BI54" s="3">
        <f t="shared" si="24"/>
        <v>7.4389681614717013E-3</v>
      </c>
      <c r="BJ54" s="3">
        <f t="shared" si="25"/>
        <v>3.4093300830561404E-3</v>
      </c>
      <c r="BK54" s="3">
        <f t="shared" si="26"/>
        <v>-2.0825663056257826E-3</v>
      </c>
    </row>
    <row r="55" spans="1:63" x14ac:dyDescent="0.2">
      <c r="A55" s="3" t="s">
        <v>62</v>
      </c>
      <c r="B55" s="3">
        <v>82.2</v>
      </c>
      <c r="C55" s="3">
        <v>95.65</v>
      </c>
      <c r="D55" s="3">
        <v>16.236000000000001</v>
      </c>
      <c r="E55" s="3">
        <v>66.05</v>
      </c>
      <c r="F55" s="3">
        <v>53.2</v>
      </c>
      <c r="G55" s="3">
        <v>188.4</v>
      </c>
      <c r="H55" s="3">
        <v>40.773000000000003</v>
      </c>
      <c r="I55" s="3">
        <v>134.4</v>
      </c>
      <c r="J55" s="3">
        <v>12.98</v>
      </c>
      <c r="K55" s="3">
        <v>92.35</v>
      </c>
      <c r="L55" s="3">
        <v>28514.050781000002</v>
      </c>
      <c r="N55" s="3">
        <f t="shared" si="2"/>
        <v>-4.8780584534329208E-3</v>
      </c>
      <c r="O55" s="3">
        <f t="shared" si="3"/>
        <v>7.291698974112748E-3</v>
      </c>
      <c r="P55" s="3">
        <f t="shared" si="4"/>
        <v>3.3818091073811729E-3</v>
      </c>
      <c r="Q55" s="3">
        <f t="shared" si="5"/>
        <v>-1.7564407258289449E-2</v>
      </c>
      <c r="R55" s="3">
        <f t="shared" si="6"/>
        <v>0</v>
      </c>
      <c r="S55" s="3">
        <f t="shared" si="7"/>
        <v>7.4035240335650343E-3</v>
      </c>
      <c r="T55" s="3">
        <f t="shared" si="8"/>
        <v>1.103062949658451E-3</v>
      </c>
      <c r="U55" s="3">
        <f t="shared" si="9"/>
        <v>2.2296553272695974E-3</v>
      </c>
      <c r="V55" s="3">
        <f t="shared" si="10"/>
        <v>1.9832839232918342E-2</v>
      </c>
      <c r="W55" s="3">
        <f t="shared" si="11"/>
        <v>1.6112056387269647E-2</v>
      </c>
      <c r="X55" s="3">
        <f t="shared" si="12"/>
        <v>4.0553464651331694E-3</v>
      </c>
      <c r="Z55" s="5" t="s">
        <v>257</v>
      </c>
      <c r="AA55" s="5">
        <v>1</v>
      </c>
      <c r="AB55" s="5">
        <v>2</v>
      </c>
      <c r="AC55" s="5">
        <v>3</v>
      </c>
      <c r="AD55" s="5">
        <v>4</v>
      </c>
      <c r="AE55" s="5">
        <v>5</v>
      </c>
      <c r="AF55" s="5">
        <v>6</v>
      </c>
      <c r="AG55" s="5">
        <v>7</v>
      </c>
      <c r="AH55" s="5">
        <v>8</v>
      </c>
      <c r="AI55" s="5">
        <v>9</v>
      </c>
      <c r="AJ55" s="5">
        <v>10</v>
      </c>
      <c r="AZ55" s="3" t="s">
        <v>60</v>
      </c>
      <c r="BA55" s="3">
        <v>50</v>
      </c>
      <c r="BB55" s="3">
        <f t="shared" si="17"/>
        <v>1.0802726825197222</v>
      </c>
      <c r="BC55" s="3">
        <f t="shared" si="18"/>
        <v>1.0688624450862143</v>
      </c>
      <c r="BD55" s="3">
        <f t="shared" si="20"/>
        <v>1.0660755095535666</v>
      </c>
      <c r="BE55" s="3">
        <f t="shared" si="21"/>
        <v>1.0325914689420548</v>
      </c>
      <c r="BF55" s="3">
        <f t="shared" si="22"/>
        <v>1.0694260807530158</v>
      </c>
      <c r="BH55" s="3">
        <f t="shared" si="23"/>
        <v>7.424121776252457E-4</v>
      </c>
      <c r="BI55" s="3">
        <f t="shared" si="24"/>
        <v>-3.9637985453577773E-4</v>
      </c>
      <c r="BJ55" s="3">
        <f t="shared" si="25"/>
        <v>3.3905092282087573E-3</v>
      </c>
      <c r="BK55" s="3">
        <f t="shared" si="26"/>
        <v>6.8225407370331725E-3</v>
      </c>
    </row>
    <row r="56" spans="1:63" x14ac:dyDescent="0.2">
      <c r="A56" s="3" t="s">
        <v>63</v>
      </c>
      <c r="B56" s="3">
        <v>81.8</v>
      </c>
      <c r="C56" s="3">
        <v>96.35</v>
      </c>
      <c r="D56" s="3">
        <v>16.291</v>
      </c>
      <c r="E56" s="3">
        <v>64.900000000000006</v>
      </c>
      <c r="F56" s="3">
        <v>53.2</v>
      </c>
      <c r="G56" s="3">
        <v>189.8</v>
      </c>
      <c r="H56" s="3">
        <v>40.817999999999998</v>
      </c>
      <c r="I56" s="3">
        <v>134.69999999999999</v>
      </c>
      <c r="J56" s="3">
        <v>13.24</v>
      </c>
      <c r="K56" s="3">
        <v>93.85</v>
      </c>
      <c r="L56" s="3">
        <v>28629.919922000001</v>
      </c>
      <c r="N56" s="3">
        <f t="shared" si="2"/>
        <v>1.0942358420943599E-2</v>
      </c>
      <c r="O56" s="3">
        <f t="shared" si="3"/>
        <v>5.1759949926299953E-3</v>
      </c>
      <c r="P56" s="3">
        <f t="shared" si="4"/>
        <v>3.3092320921412899E-3</v>
      </c>
      <c r="Q56" s="3">
        <f t="shared" si="5"/>
        <v>-7.7339905997364511E-3</v>
      </c>
      <c r="R56" s="3">
        <f t="shared" si="6"/>
        <v>1.3072081567352622E-2</v>
      </c>
      <c r="S56" s="3">
        <f t="shared" si="7"/>
        <v>7.3491144414727927E-3</v>
      </c>
      <c r="T56" s="3">
        <f t="shared" si="8"/>
        <v>1.1085372559681783E-2</v>
      </c>
      <c r="U56" s="3">
        <f t="shared" si="9"/>
        <v>-8.1998223137729198E-3</v>
      </c>
      <c r="V56" s="3">
        <f t="shared" si="10"/>
        <v>6.0241146033805926E-3</v>
      </c>
      <c r="W56" s="3">
        <f t="shared" si="11"/>
        <v>6.9020714671790273E-3</v>
      </c>
      <c r="X56" s="3">
        <f t="shared" si="12"/>
        <v>6.4889042550113629E-3</v>
      </c>
      <c r="Z56" s="5" t="s">
        <v>21</v>
      </c>
      <c r="AA56" s="5">
        <v>5.6509079706213985</v>
      </c>
      <c r="AB56" s="5">
        <v>0.88528836713731818</v>
      </c>
      <c r="AC56" s="5">
        <v>0.70518911404800388</v>
      </c>
      <c r="AD56" s="5">
        <v>0.63737071871490925</v>
      </c>
      <c r="AE56" s="5">
        <v>0.53714513275230236</v>
      </c>
      <c r="AF56" s="5">
        <v>0.47954106986702005</v>
      </c>
      <c r="AG56" s="5">
        <v>0.41156018710868636</v>
      </c>
      <c r="AH56" s="5">
        <v>0.28513398413949509</v>
      </c>
      <c r="AI56" s="5">
        <v>0.22168792986420222</v>
      </c>
      <c r="AJ56" s="5">
        <v>0.18617552574666041</v>
      </c>
      <c r="AZ56" s="3" t="s">
        <v>61</v>
      </c>
      <c r="BA56" s="3">
        <v>51</v>
      </c>
      <c r="BB56" s="3">
        <f t="shared" si="17"/>
        <v>1.0810749878981714</v>
      </c>
      <c r="BC56" s="3">
        <f t="shared" si="18"/>
        <v>1.0684388535028435</v>
      </c>
      <c r="BD56" s="3">
        <f t="shared" si="20"/>
        <v>1.0696961829014049</v>
      </c>
      <c r="BE56" s="3">
        <f t="shared" si="21"/>
        <v>1.0396604530998019</v>
      </c>
      <c r="BF56" s="3">
        <f t="shared" si="22"/>
        <v>1.0649412266309526</v>
      </c>
      <c r="BH56" s="3">
        <f t="shared" si="23"/>
        <v>8.4511545665784393E-3</v>
      </c>
      <c r="BI56" s="3">
        <f t="shared" si="24"/>
        <v>7.9389393398964225E-3</v>
      </c>
      <c r="BJ56" s="3">
        <f t="shared" si="25"/>
        <v>7.8216673932963721E-3</v>
      </c>
      <c r="BK56" s="3">
        <f t="shared" si="26"/>
        <v>6.3363346305849375E-3</v>
      </c>
    </row>
    <row r="57" spans="1:63" x14ac:dyDescent="0.2">
      <c r="A57" s="3" t="s">
        <v>64</v>
      </c>
      <c r="B57" s="3">
        <v>82.7</v>
      </c>
      <c r="C57" s="3">
        <v>96.85</v>
      </c>
      <c r="D57" s="3">
        <v>16.344999999999999</v>
      </c>
      <c r="E57" s="3">
        <v>64.400000000000006</v>
      </c>
      <c r="F57" s="3">
        <v>53.9</v>
      </c>
      <c r="G57" s="3">
        <v>191.2</v>
      </c>
      <c r="H57" s="3">
        <v>41.273000000000003</v>
      </c>
      <c r="I57" s="3">
        <v>133.6</v>
      </c>
      <c r="J57" s="3">
        <v>13.32</v>
      </c>
      <c r="K57" s="3">
        <v>94.5</v>
      </c>
      <c r="L57" s="3">
        <v>28816.300781000002</v>
      </c>
      <c r="N57" s="3">
        <f t="shared" si="2"/>
        <v>-5.4562123841641608E-3</v>
      </c>
      <c r="O57" s="3">
        <f t="shared" si="3"/>
        <v>-3.1998533840826404E-2</v>
      </c>
      <c r="P57" s="3">
        <f t="shared" si="4"/>
        <v>-1.0022526790526065E-2</v>
      </c>
      <c r="Q57" s="3">
        <f t="shared" si="5"/>
        <v>-3.1104224143927439E-3</v>
      </c>
      <c r="R57" s="3">
        <f t="shared" si="6"/>
        <v>-4.6490088382435957E-3</v>
      </c>
      <c r="S57" s="3">
        <f t="shared" si="7"/>
        <v>5.228758289064217E-4</v>
      </c>
      <c r="T57" s="3">
        <f t="shared" si="8"/>
        <v>-9.9590533005318171E-3</v>
      </c>
      <c r="U57" s="3">
        <f t="shared" si="9"/>
        <v>2.2429915945814116E-3</v>
      </c>
      <c r="V57" s="3">
        <f t="shared" si="10"/>
        <v>-1.512888159629977E-2</v>
      </c>
      <c r="W57" s="3">
        <f t="shared" si="11"/>
        <v>-2.1186448602854568E-3</v>
      </c>
      <c r="X57" s="3">
        <f t="shared" si="12"/>
        <v>4.950196558585418E-3</v>
      </c>
      <c r="Z57" s="5" t="s">
        <v>268</v>
      </c>
      <c r="AA57" s="3">
        <v>0.30943176576903642</v>
      </c>
      <c r="AB57" s="3">
        <v>-0.29379584576020928</v>
      </c>
      <c r="AC57" s="3">
        <v>5.4543042181097449E-2</v>
      </c>
      <c r="AD57" s="3">
        <v>0.33993195911457524</v>
      </c>
      <c r="AE57" s="3">
        <v>0.13749488805056886</v>
      </c>
      <c r="AF57" s="3">
        <v>-0.53877469739291473</v>
      </c>
      <c r="AG57" s="3">
        <v>0.60653066620466145</v>
      </c>
      <c r="AH57" s="3">
        <v>0.12933161408732061</v>
      </c>
      <c r="AI57" s="3">
        <v>-7.4849251342142237E-2</v>
      </c>
      <c r="AJ57" s="3">
        <v>-3.9696854801139709E-3</v>
      </c>
      <c r="AK57" s="4" t="s">
        <v>287</v>
      </c>
      <c r="AZ57" s="3" t="s">
        <v>62</v>
      </c>
      <c r="BA57" s="3">
        <v>52</v>
      </c>
      <c r="BB57" s="3">
        <f t="shared" si="17"/>
        <v>1.0902500349811914</v>
      </c>
      <c r="BC57" s="3">
        <f t="shared" si="18"/>
        <v>1.076954884146436</v>
      </c>
      <c r="BD57" s="3">
        <f t="shared" si="20"/>
        <v>1.0780957973281502</v>
      </c>
      <c r="BE57" s="3">
        <f t="shared" si="21"/>
        <v>1.0462690045188137</v>
      </c>
      <c r="BF57" s="3">
        <f t="shared" si="22"/>
        <v>1.0757279100983712</v>
      </c>
      <c r="BH57" s="3">
        <f t="shared" si="23"/>
        <v>3.9911046823057489E-3</v>
      </c>
      <c r="BI57" s="3">
        <f t="shared" si="24"/>
        <v>2.6482048516134338E-3</v>
      </c>
      <c r="BJ57" s="3">
        <f t="shared" si="25"/>
        <v>4.0864467566277818E-3</v>
      </c>
      <c r="BK57" s="3">
        <f t="shared" si="26"/>
        <v>3.4032822472455301E-3</v>
      </c>
    </row>
    <row r="58" spans="1:63" x14ac:dyDescent="0.2">
      <c r="A58" s="3" t="s">
        <v>65</v>
      </c>
      <c r="B58" s="3">
        <v>82.25</v>
      </c>
      <c r="C58" s="3">
        <v>93.8</v>
      </c>
      <c r="D58" s="3">
        <v>16.181999999999999</v>
      </c>
      <c r="E58" s="3">
        <v>64.2</v>
      </c>
      <c r="F58" s="3">
        <v>53.65</v>
      </c>
      <c r="G58" s="3">
        <v>191.3</v>
      </c>
      <c r="H58" s="3">
        <v>40.863999999999997</v>
      </c>
      <c r="I58" s="3">
        <v>133.9</v>
      </c>
      <c r="J58" s="3">
        <v>13.12</v>
      </c>
      <c r="K58" s="3">
        <v>94.3</v>
      </c>
      <c r="L58" s="3">
        <v>28959.300781000002</v>
      </c>
      <c r="N58" s="3">
        <f t="shared" si="2"/>
        <v>1.3285219551321781E-2</v>
      </c>
      <c r="O58" s="3">
        <f t="shared" si="3"/>
        <v>-1.5579149366930167E-2</v>
      </c>
      <c r="P58" s="3">
        <f t="shared" si="4"/>
        <v>1.1117288526905078E-3</v>
      </c>
      <c r="Q58" s="3">
        <f t="shared" si="5"/>
        <v>-3.901682671063611E-3</v>
      </c>
      <c r="R58" s="3">
        <f t="shared" si="6"/>
        <v>1.1121523343861295E-2</v>
      </c>
      <c r="S58" s="3">
        <f t="shared" si="7"/>
        <v>5.7336617853991356E-3</v>
      </c>
      <c r="T58" s="3">
        <f t="shared" si="8"/>
        <v>-1.231118124784647E-2</v>
      </c>
      <c r="U58" s="3">
        <f t="shared" si="9"/>
        <v>-1.5807630628720482E-2</v>
      </c>
      <c r="V58" s="3">
        <f t="shared" si="10"/>
        <v>-1.6910472148316646E-2</v>
      </c>
      <c r="W58" s="3">
        <f t="shared" si="11"/>
        <v>-3.7184637799372311E-3</v>
      </c>
      <c r="X58" s="3">
        <f t="shared" si="12"/>
        <v>-6.4866265483498609E-3</v>
      </c>
      <c r="Z58" s="5" t="s">
        <v>269</v>
      </c>
      <c r="AA58" s="3">
        <v>0.27238884516301004</v>
      </c>
      <c r="AB58" s="3">
        <v>0.62604279763990445</v>
      </c>
      <c r="AC58" s="3">
        <v>-8.5877739848753465E-2</v>
      </c>
      <c r="AD58" s="3">
        <v>-5.6741389591666754E-2</v>
      </c>
      <c r="AE58" s="3">
        <v>-0.16922620584467354</v>
      </c>
      <c r="AF58" s="3">
        <v>-0.56470231067954679</v>
      </c>
      <c r="AG58" s="3">
        <v>-0.31045806500273671</v>
      </c>
      <c r="AH58" s="3">
        <v>0.18948519399784045</v>
      </c>
      <c r="AI58" s="3">
        <v>-7.5623248844533808E-2</v>
      </c>
      <c r="AJ58" s="3">
        <v>-0.19428388505687183</v>
      </c>
      <c r="AK58" s="4" t="s">
        <v>288</v>
      </c>
      <c r="AZ58" s="3" t="s">
        <v>63</v>
      </c>
      <c r="BA58" s="3">
        <v>53</v>
      </c>
      <c r="BB58" s="3">
        <f t="shared" si="17"/>
        <v>1.0946100318150775</v>
      </c>
      <c r="BC58" s="3">
        <f t="shared" si="18"/>
        <v>1.0798106609676572</v>
      </c>
      <c r="BD58" s="3">
        <f t="shared" si="20"/>
        <v>1.0825103922627597</v>
      </c>
      <c r="BE58" s="3">
        <f t="shared" si="21"/>
        <v>1.0498358192436839</v>
      </c>
      <c r="BF58" s="3">
        <f t="shared" si="22"/>
        <v>1.0800992170673509</v>
      </c>
      <c r="BH58" s="3">
        <f t="shared" si="23"/>
        <v>4.716890113235242E-3</v>
      </c>
      <c r="BI58" s="3">
        <f t="shared" si="24"/>
        <v>4.9310486966817751E-3</v>
      </c>
      <c r="BJ58" s="3">
        <f t="shared" si="25"/>
        <v>8.9798093855112671E-3</v>
      </c>
      <c r="BK58" s="3">
        <f t="shared" si="26"/>
        <v>1.5686955166060071E-2</v>
      </c>
    </row>
    <row r="59" spans="1:63" x14ac:dyDescent="0.2">
      <c r="A59" s="3" t="s">
        <v>66</v>
      </c>
      <c r="B59" s="3">
        <v>83.35</v>
      </c>
      <c r="C59" s="3">
        <v>92.35</v>
      </c>
      <c r="D59" s="3">
        <v>16.2</v>
      </c>
      <c r="E59" s="3">
        <v>63.95</v>
      </c>
      <c r="F59" s="3">
        <v>54.25</v>
      </c>
      <c r="G59" s="3">
        <v>192.4</v>
      </c>
      <c r="H59" s="3">
        <v>40.363999999999997</v>
      </c>
      <c r="I59" s="3">
        <v>131.80000000000001</v>
      </c>
      <c r="J59" s="3">
        <v>12.9</v>
      </c>
      <c r="K59" s="3">
        <v>93.95</v>
      </c>
      <c r="L59" s="3">
        <v>28772.060547000001</v>
      </c>
      <c r="N59" s="3">
        <f t="shared" si="2"/>
        <v>1.606699246120602E-2</v>
      </c>
      <c r="O59" s="3">
        <f t="shared" si="3"/>
        <v>1.451248259912763E-2</v>
      </c>
      <c r="P59" s="3">
        <f t="shared" si="4"/>
        <v>1.0072557828813888E-2</v>
      </c>
      <c r="Q59" s="3">
        <f t="shared" si="5"/>
        <v>2.342835901772311E-3</v>
      </c>
      <c r="R59" s="3">
        <f t="shared" si="6"/>
        <v>3.6798569584006735E-3</v>
      </c>
      <c r="S59" s="3">
        <f t="shared" si="7"/>
        <v>1.2396852976828576E-2</v>
      </c>
      <c r="T59" s="3">
        <f t="shared" si="8"/>
        <v>4.4741697942383141E-3</v>
      </c>
      <c r="U59" s="3">
        <f t="shared" si="9"/>
        <v>8.3113436507931127E-3</v>
      </c>
      <c r="V59" s="3">
        <f t="shared" si="10"/>
        <v>-1.8779894651596241E-2</v>
      </c>
      <c r="W59" s="3">
        <f t="shared" si="11"/>
        <v>5.3205641052933572E-4</v>
      </c>
      <c r="X59" s="3">
        <f t="shared" si="12"/>
        <v>-5.0829902275495442E-4</v>
      </c>
      <c r="Z59" s="5" t="s">
        <v>270</v>
      </c>
      <c r="AA59" s="3">
        <v>0.28730271833153681</v>
      </c>
      <c r="AB59" s="3">
        <v>0.55828605318847813</v>
      </c>
      <c r="AC59" s="3">
        <v>-6.6216471030159776E-2</v>
      </c>
      <c r="AD59" s="3">
        <v>-7.2293500297846536E-2</v>
      </c>
      <c r="AE59" s="3">
        <v>2.5540639177058375E-2</v>
      </c>
      <c r="AF59" s="3">
        <v>0.48289979898987312</v>
      </c>
      <c r="AG59" s="3">
        <v>0.55604804236940997</v>
      </c>
      <c r="AH59" s="3">
        <v>5.5802215146120979E-2</v>
      </c>
      <c r="AI59" s="3">
        <v>-0.21093507294847594</v>
      </c>
      <c r="AJ59" s="3">
        <v>7.4306136231538394E-2</v>
      </c>
      <c r="AK59" s="4" t="s">
        <v>289</v>
      </c>
      <c r="AZ59" s="3" t="s">
        <v>64</v>
      </c>
      <c r="BA59" s="3">
        <v>54</v>
      </c>
      <c r="BB59" s="3">
        <f t="shared" si="17"/>
        <v>1.099785383238423</v>
      </c>
      <c r="BC59" s="3">
        <f t="shared" si="18"/>
        <v>1.0851484094532255</v>
      </c>
      <c r="BD59" s="3">
        <f t="shared" si="20"/>
        <v>1.0922749053613183</v>
      </c>
      <c r="BE59" s="3">
        <f t="shared" si="21"/>
        <v>1.0664343968624663</v>
      </c>
      <c r="BF59" s="3">
        <f t="shared" si="22"/>
        <v>1.0871306660001698</v>
      </c>
      <c r="BH59" s="3">
        <f t="shared" si="23"/>
        <v>-8.1440955873091359E-3</v>
      </c>
      <c r="BI59" s="3">
        <f t="shared" si="24"/>
        <v>-8.4369213618352701E-3</v>
      </c>
      <c r="BJ59" s="3">
        <f t="shared" si="25"/>
        <v>-1.3945520919283458E-2</v>
      </c>
      <c r="BK59" s="3">
        <f t="shared" si="26"/>
        <v>-2.1459575562395451E-2</v>
      </c>
    </row>
    <row r="60" spans="1:63" x14ac:dyDescent="0.2">
      <c r="A60" s="3" t="s">
        <v>67</v>
      </c>
      <c r="B60" s="3">
        <v>84.7</v>
      </c>
      <c r="C60" s="3">
        <v>93.7</v>
      </c>
      <c r="D60" s="3">
        <v>16.364000000000001</v>
      </c>
      <c r="E60" s="3">
        <v>64.099999999999994</v>
      </c>
      <c r="F60" s="3">
        <v>54.45</v>
      </c>
      <c r="G60" s="3">
        <v>194.8</v>
      </c>
      <c r="H60" s="3">
        <v>40.545000000000002</v>
      </c>
      <c r="I60" s="3">
        <v>132.9</v>
      </c>
      <c r="J60" s="3">
        <v>12.66</v>
      </c>
      <c r="K60" s="3">
        <v>94</v>
      </c>
      <c r="L60" s="3">
        <v>28757.439452999999</v>
      </c>
      <c r="N60" s="3">
        <f t="shared" si="2"/>
        <v>-1.3670346616605933E-2</v>
      </c>
      <c r="O60" s="3">
        <f t="shared" si="3"/>
        <v>-7.4986960911198608E-3</v>
      </c>
      <c r="P60" s="3">
        <f t="shared" si="4"/>
        <v>9.9116070915372667E-3</v>
      </c>
      <c r="Q60" s="3">
        <f t="shared" si="5"/>
        <v>7.7972713502116875E-4</v>
      </c>
      <c r="R60" s="3">
        <f t="shared" si="6"/>
        <v>9.1785229022889325E-4</v>
      </c>
      <c r="S60" s="3">
        <f t="shared" si="7"/>
        <v>-1.5412281499331826E-3</v>
      </c>
      <c r="T60" s="3">
        <f t="shared" si="8"/>
        <v>-4.4741697942383141E-3</v>
      </c>
      <c r="U60" s="3">
        <f t="shared" si="9"/>
        <v>-2.2062515263617577E-2</v>
      </c>
      <c r="V60" s="3">
        <f t="shared" si="10"/>
        <v>-9.5238815112557162E-3</v>
      </c>
      <c r="W60" s="3">
        <f t="shared" si="11"/>
        <v>-6.9389122822718363E-3</v>
      </c>
      <c r="X60" s="3">
        <f t="shared" si="12"/>
        <v>-4.3303230051616737E-3</v>
      </c>
      <c r="Z60" s="5" t="s">
        <v>271</v>
      </c>
      <c r="AA60" s="3">
        <v>0.2989256097225354</v>
      </c>
      <c r="AB60" s="3">
        <v>-0.11355579448402661</v>
      </c>
      <c r="AC60" s="3">
        <v>0.6842174685245529</v>
      </c>
      <c r="AD60" s="3">
        <v>0.21726870665996928</v>
      </c>
      <c r="AE60" s="3">
        <v>1.455813659392243E-2</v>
      </c>
      <c r="AF60" s="3">
        <v>0.25670275177241059</v>
      </c>
      <c r="AG60" s="3">
        <v>-0.27851205945066021</v>
      </c>
      <c r="AH60" s="3">
        <v>0.35214199960013121</v>
      </c>
      <c r="AI60" s="3">
        <v>-0.29367544603325912</v>
      </c>
      <c r="AJ60" s="3">
        <v>-0.16870939929355705</v>
      </c>
      <c r="AK60" s="4" t="s">
        <v>290</v>
      </c>
      <c r="AZ60" s="3" t="s">
        <v>65</v>
      </c>
      <c r="BA60" s="3">
        <v>55</v>
      </c>
      <c r="BB60" s="3">
        <f t="shared" si="17"/>
        <v>1.0908649994853949</v>
      </c>
      <c r="BC60" s="3">
        <f t="shared" si="18"/>
        <v>1.0760316105932699</v>
      </c>
      <c r="BD60" s="3">
        <f t="shared" si="20"/>
        <v>1.0771482822865173</v>
      </c>
      <c r="BE60" s="3">
        <f t="shared" si="21"/>
        <v>1.0437929738874343</v>
      </c>
      <c r="BF60" s="3">
        <f t="shared" si="22"/>
        <v>1.0925255182547842</v>
      </c>
      <c r="BH60" s="3">
        <f t="shared" si="23"/>
        <v>-4.2174088492940298E-3</v>
      </c>
      <c r="BI60" s="3">
        <f t="shared" si="24"/>
        <v>-2.6797423634204592E-3</v>
      </c>
      <c r="BJ60" s="3">
        <f t="shared" si="25"/>
        <v>6.9931929221964118E-4</v>
      </c>
      <c r="BK60" s="3">
        <f t="shared" si="26"/>
        <v>9.7450721315391203E-3</v>
      </c>
    </row>
    <row r="61" spans="1:63" x14ac:dyDescent="0.2">
      <c r="A61" s="3" t="s">
        <v>68</v>
      </c>
      <c r="B61" s="3">
        <v>83.55</v>
      </c>
      <c r="C61" s="3">
        <v>93</v>
      </c>
      <c r="D61" s="3">
        <v>16.527000000000001</v>
      </c>
      <c r="E61" s="3">
        <v>64.150000000000006</v>
      </c>
      <c r="F61" s="3">
        <v>54.5</v>
      </c>
      <c r="G61" s="3">
        <v>194.5</v>
      </c>
      <c r="H61" s="3">
        <v>40.363999999999997</v>
      </c>
      <c r="I61" s="3">
        <v>130</v>
      </c>
      <c r="J61" s="3">
        <v>12.54</v>
      </c>
      <c r="K61" s="3">
        <v>93.35</v>
      </c>
      <c r="L61" s="3">
        <v>28633.179688</v>
      </c>
      <c r="N61" s="3">
        <f t="shared" si="2"/>
        <v>-5.9862318459291686E-4</v>
      </c>
      <c r="O61" s="3">
        <f t="shared" si="3"/>
        <v>3.2206147000417573E-3</v>
      </c>
      <c r="P61" s="3">
        <f t="shared" si="4"/>
        <v>-4.3660247633861005E-3</v>
      </c>
      <c r="Q61" s="3">
        <f t="shared" si="5"/>
        <v>7.791196342701312E-4</v>
      </c>
      <c r="R61" s="3">
        <f t="shared" si="6"/>
        <v>-4.5977092486295668E-3</v>
      </c>
      <c r="S61" s="3">
        <f t="shared" si="7"/>
        <v>2.0544434550133772E-3</v>
      </c>
      <c r="T61" s="3">
        <f t="shared" si="8"/>
        <v>1.1142338319909406E-3</v>
      </c>
      <c r="U61" s="3">
        <f t="shared" si="9"/>
        <v>-5.3991646777706848E-3</v>
      </c>
      <c r="V61" s="3">
        <f t="shared" si="10"/>
        <v>1.5936258352780008E-3</v>
      </c>
      <c r="W61" s="3">
        <f t="shared" si="11"/>
        <v>1.0706639138398089E-3</v>
      </c>
      <c r="X61" s="3">
        <f t="shared" si="12"/>
        <v>6.2316902745465086E-3</v>
      </c>
      <c r="Z61" s="5" t="s">
        <v>272</v>
      </c>
      <c r="AA61" s="3">
        <v>0.27627927046943457</v>
      </c>
      <c r="AB61" s="3">
        <v>7.6836830057155185E-3</v>
      </c>
      <c r="AC61" s="3">
        <v>-0.45075786111268101</v>
      </c>
      <c r="AD61" s="3">
        <v>0.75430659188936255</v>
      </c>
      <c r="AE61" s="3">
        <v>-5.6275966477730831E-2</v>
      </c>
      <c r="AF61" s="3">
        <v>0.23857582465559671</v>
      </c>
      <c r="AG61" s="3">
        <v>-0.26223730146752083</v>
      </c>
      <c r="AH61" s="3">
        <v>-8.2034103637420683E-2</v>
      </c>
      <c r="AI61" s="3">
        <v>0.1197538057675543</v>
      </c>
      <c r="AJ61" s="3">
        <v>3.9054613712645715E-2</v>
      </c>
      <c r="AK61" s="4" t="s">
        <v>291</v>
      </c>
      <c r="AZ61" s="3" t="s">
        <v>66</v>
      </c>
      <c r="BA61" s="3">
        <v>56</v>
      </c>
      <c r="BB61" s="3">
        <f t="shared" si="17"/>
        <v>1.0862740635149102</v>
      </c>
      <c r="BC61" s="3">
        <f t="shared" si="18"/>
        <v>1.0731519831550236</v>
      </c>
      <c r="BD61" s="3">
        <f t="shared" si="20"/>
        <v>1.0779018163106322</v>
      </c>
      <c r="BE61" s="3">
        <f t="shared" si="21"/>
        <v>1.0540145357451856</v>
      </c>
      <c r="BF61" s="3">
        <f t="shared" si="22"/>
        <v>1.085461648334858</v>
      </c>
      <c r="BH61" s="3">
        <f t="shared" si="23"/>
        <v>5.0939823505857657E-3</v>
      </c>
      <c r="BI61" s="3">
        <f t="shared" si="24"/>
        <v>6.0967314123367283E-3</v>
      </c>
      <c r="BJ61" s="3">
        <f t="shared" si="25"/>
        <v>8.8078541824627571E-3</v>
      </c>
      <c r="BK61" s="3">
        <f t="shared" si="26"/>
        <v>1.3909466839293873E-2</v>
      </c>
    </row>
    <row r="62" spans="1:63" x14ac:dyDescent="0.2">
      <c r="A62" s="3" t="s">
        <v>69</v>
      </c>
      <c r="B62" s="3">
        <v>83.5</v>
      </c>
      <c r="C62" s="3">
        <v>93.3</v>
      </c>
      <c r="D62" s="3">
        <v>16.454999999999998</v>
      </c>
      <c r="E62" s="3">
        <v>64.2</v>
      </c>
      <c r="F62" s="3">
        <v>54.25</v>
      </c>
      <c r="G62" s="3">
        <v>194.9</v>
      </c>
      <c r="H62" s="3">
        <v>40.408999999999999</v>
      </c>
      <c r="I62" s="3">
        <v>129.30000000000001</v>
      </c>
      <c r="J62" s="3">
        <v>12.56</v>
      </c>
      <c r="K62" s="3">
        <v>93.45</v>
      </c>
      <c r="L62" s="3">
        <v>28812.169922000001</v>
      </c>
      <c r="N62" s="3">
        <f t="shared" si="2"/>
        <v>2.392345638619453E-3</v>
      </c>
      <c r="O62" s="3">
        <f t="shared" si="3"/>
        <v>-1.6090108057005281E-3</v>
      </c>
      <c r="P62" s="3">
        <f t="shared" si="4"/>
        <v>-1.1553313741399229E-3</v>
      </c>
      <c r="Q62" s="3">
        <f t="shared" si="5"/>
        <v>0</v>
      </c>
      <c r="R62" s="3">
        <f t="shared" si="6"/>
        <v>-9.2208397496840178E-4</v>
      </c>
      <c r="S62" s="3">
        <f t="shared" si="7"/>
        <v>-1.4991234485733251E-2</v>
      </c>
      <c r="T62" s="3">
        <f t="shared" si="8"/>
        <v>4.493834723059642E-3</v>
      </c>
      <c r="U62" s="3">
        <f t="shared" si="9"/>
        <v>6.1680997406483584E-3</v>
      </c>
      <c r="V62" s="3">
        <f t="shared" si="10"/>
        <v>0</v>
      </c>
      <c r="W62" s="3">
        <f t="shared" si="11"/>
        <v>5.3361919579026917E-3</v>
      </c>
      <c r="X62" s="3">
        <f t="shared" si="12"/>
        <v>5.1035399500864997E-3</v>
      </c>
      <c r="Z62" s="5" t="s">
        <v>273</v>
      </c>
      <c r="AA62" s="3">
        <v>0.34187639488590671</v>
      </c>
      <c r="AB62" s="3">
        <v>0.12948964914049038</v>
      </c>
      <c r="AC62" s="3">
        <v>0.44989424922149368</v>
      </c>
      <c r="AD62" s="3">
        <v>1.4127832457715052E-2</v>
      </c>
      <c r="AE62" s="3">
        <v>-0.10535103347446029</v>
      </c>
      <c r="AF62" s="3">
        <v>-7.4528725695085632E-2</v>
      </c>
      <c r="AG62" s="3">
        <v>-9.7793809850536696E-3</v>
      </c>
      <c r="AH62" s="3">
        <v>-0.70094951941847949</v>
      </c>
      <c r="AI62" s="3">
        <v>0.33888720846877424</v>
      </c>
      <c r="AJ62" s="3">
        <v>0.2020513645479457</v>
      </c>
      <c r="AK62" s="4" t="s">
        <v>292</v>
      </c>
      <c r="AZ62" s="3" t="s">
        <v>67</v>
      </c>
      <c r="BA62" s="3">
        <v>57</v>
      </c>
      <c r="BB62" s="3">
        <f t="shared" si="17"/>
        <v>1.0918216420599405</v>
      </c>
      <c r="BC62" s="3">
        <f t="shared" si="18"/>
        <v>1.0797146877565451</v>
      </c>
      <c r="BD62" s="3">
        <f t="shared" si="20"/>
        <v>1.0874377522499399</v>
      </c>
      <c r="BE62" s="3">
        <f t="shared" si="21"/>
        <v>1.0687777521898463</v>
      </c>
      <c r="BF62" s="3">
        <f t="shared" si="22"/>
        <v>1.0849100494402368</v>
      </c>
      <c r="BH62" s="3">
        <f t="shared" si="23"/>
        <v>-5.57182149833578E-3</v>
      </c>
      <c r="BI62" s="3">
        <f t="shared" si="24"/>
        <v>-4.3193647832759779E-3</v>
      </c>
      <c r="BJ62" s="3">
        <f t="shared" si="25"/>
        <v>-1.1603488261182487E-3</v>
      </c>
      <c r="BK62" s="3">
        <f t="shared" si="26"/>
        <v>5.0687365965751408E-3</v>
      </c>
    </row>
    <row r="63" spans="1:63" x14ac:dyDescent="0.2">
      <c r="A63" s="3" t="s">
        <v>70</v>
      </c>
      <c r="B63" s="3">
        <v>83.7</v>
      </c>
      <c r="C63" s="3">
        <v>93.15</v>
      </c>
      <c r="D63" s="3">
        <v>16.436</v>
      </c>
      <c r="E63" s="3">
        <v>64.2</v>
      </c>
      <c r="F63" s="3">
        <v>54.2</v>
      </c>
      <c r="G63" s="3">
        <v>192</v>
      </c>
      <c r="H63" s="3">
        <v>40.591000000000001</v>
      </c>
      <c r="I63" s="3">
        <v>130.1</v>
      </c>
      <c r="J63" s="3">
        <v>12.56</v>
      </c>
      <c r="K63" s="3">
        <v>93.95</v>
      </c>
      <c r="L63" s="3">
        <v>28959.589843999998</v>
      </c>
      <c r="N63" s="3">
        <f t="shared" si="2"/>
        <v>-2.0519730231176148E-2</v>
      </c>
      <c r="O63" s="3">
        <f t="shared" si="3"/>
        <v>-1.2966145997267198E-2</v>
      </c>
      <c r="P63" s="3">
        <f t="shared" si="4"/>
        <v>-3.2908799277531209E-3</v>
      </c>
      <c r="Q63" s="3">
        <f t="shared" si="5"/>
        <v>2.3337233462203955E-3</v>
      </c>
      <c r="R63" s="3">
        <f t="shared" si="6"/>
        <v>-9.2293499860085504E-4</v>
      </c>
      <c r="S63" s="3">
        <f t="shared" si="7"/>
        <v>-9.4192219164916935E-3</v>
      </c>
      <c r="T63" s="3">
        <f t="shared" si="8"/>
        <v>-3.3561218975299845E-3</v>
      </c>
      <c r="U63" s="3">
        <f t="shared" si="9"/>
        <v>-6.9417941699585484E-3</v>
      </c>
      <c r="V63" s="3">
        <f t="shared" si="10"/>
        <v>-1.1209084534719693E-2</v>
      </c>
      <c r="W63" s="3">
        <f t="shared" si="11"/>
        <v>-1.4473584207340906E-2</v>
      </c>
      <c r="X63" s="3">
        <f t="shared" si="12"/>
        <v>6.9396537597299357E-5</v>
      </c>
      <c r="Z63" s="5" t="s">
        <v>274</v>
      </c>
      <c r="AA63" s="3">
        <v>0.35845327544528666</v>
      </c>
      <c r="AB63" s="3">
        <v>-6.5273387846608161E-2</v>
      </c>
      <c r="AC63" s="3">
        <v>-6.1686027597552137E-2</v>
      </c>
      <c r="AD63" s="3">
        <v>-0.25603360522017066</v>
      </c>
      <c r="AE63" s="3">
        <v>0.3449611110725081</v>
      </c>
      <c r="AF63" s="3">
        <v>0.12061391758554919</v>
      </c>
      <c r="AG63" s="3">
        <v>-2.5381819501796511E-2</v>
      </c>
      <c r="AH63" s="3">
        <v>0.35829606822239102</v>
      </c>
      <c r="AI63" s="3">
        <v>0.71697602734891386</v>
      </c>
      <c r="AJ63" s="3">
        <v>-0.14584732713758675</v>
      </c>
      <c r="AK63" s="4" t="s">
        <v>293</v>
      </c>
      <c r="AZ63" s="3" t="s">
        <v>68</v>
      </c>
      <c r="BA63" s="3">
        <v>58</v>
      </c>
      <c r="BB63" s="3">
        <f t="shared" si="17"/>
        <v>1.0857551232370415</v>
      </c>
      <c r="BC63" s="3">
        <f t="shared" si="18"/>
        <v>1.075061063743288</v>
      </c>
      <c r="BD63" s="3">
        <f t="shared" si="20"/>
        <v>1.0861766769157755</v>
      </c>
      <c r="BE63" s="3">
        <f t="shared" si="21"/>
        <v>1.0742088578900542</v>
      </c>
      <c r="BF63" s="3">
        <f t="shared" si="22"/>
        <v>1.0802221957803202</v>
      </c>
      <c r="BH63" s="3">
        <f t="shared" si="23"/>
        <v>-5.4321401229544264E-4</v>
      </c>
      <c r="BI63" s="3">
        <f t="shared" si="24"/>
        <v>-7.2774095519970161E-4</v>
      </c>
      <c r="BJ63" s="3">
        <f t="shared" si="25"/>
        <v>-2.3017143330945622E-3</v>
      </c>
      <c r="BK63" s="3">
        <f t="shared" si="26"/>
        <v>-4.9245413064992333E-3</v>
      </c>
    </row>
    <row r="64" spans="1:63" x14ac:dyDescent="0.2">
      <c r="A64" s="3" t="s">
        <v>71</v>
      </c>
      <c r="B64" s="3">
        <v>82</v>
      </c>
      <c r="C64" s="3">
        <v>91.95</v>
      </c>
      <c r="D64" s="3">
        <v>16.382000000000001</v>
      </c>
      <c r="E64" s="3">
        <v>64.349999999999994</v>
      </c>
      <c r="F64" s="3">
        <v>54.15</v>
      </c>
      <c r="G64" s="3">
        <v>190.2</v>
      </c>
      <c r="H64" s="3">
        <v>40.454999999999998</v>
      </c>
      <c r="I64" s="3">
        <v>129.19999999999999</v>
      </c>
      <c r="J64" s="3">
        <v>12.42</v>
      </c>
      <c r="K64" s="3">
        <v>92.6</v>
      </c>
      <c r="L64" s="3">
        <v>28961.599609000001</v>
      </c>
      <c r="N64" s="3">
        <f t="shared" si="2"/>
        <v>-1.8309434471097674E-3</v>
      </c>
      <c r="O64" s="3">
        <f t="shared" si="3"/>
        <v>1.0869566287565746E-3</v>
      </c>
      <c r="P64" s="3">
        <f t="shared" si="4"/>
        <v>-2.2611309172364535E-3</v>
      </c>
      <c r="Q64" s="3">
        <f t="shared" si="5"/>
        <v>5.4242674647193567E-3</v>
      </c>
      <c r="R64" s="3">
        <f t="shared" si="6"/>
        <v>-1.8484293617824221E-3</v>
      </c>
      <c r="S64" s="3">
        <f t="shared" si="7"/>
        <v>4.1972779353400824E-3</v>
      </c>
      <c r="T64" s="3">
        <f t="shared" si="8"/>
        <v>8.9329153311759057E-3</v>
      </c>
      <c r="U64" s="3">
        <f t="shared" si="9"/>
        <v>7.7101384259670169E-3</v>
      </c>
      <c r="V64" s="3">
        <f t="shared" si="10"/>
        <v>9.6154586994416924E-3</v>
      </c>
      <c r="W64" s="3">
        <f t="shared" si="11"/>
        <v>5.9219553954639181E-3</v>
      </c>
      <c r="X64" s="3">
        <f t="shared" si="12"/>
        <v>2.6207273384244445E-3</v>
      </c>
      <c r="Z64" s="5" t="s">
        <v>275</v>
      </c>
      <c r="AA64" s="3">
        <v>0.36270764216794532</v>
      </c>
      <c r="AB64" s="3">
        <v>-0.16778754565581402</v>
      </c>
      <c r="AC64" s="3">
        <v>-0.16772172850664654</v>
      </c>
      <c r="AD64" s="3">
        <v>-0.26778032608286328</v>
      </c>
      <c r="AE64" s="3">
        <v>0.16807366537532709</v>
      </c>
      <c r="AF64" s="3">
        <v>-6.1657500887445982E-2</v>
      </c>
      <c r="AG64" s="3">
        <v>-0.24458644560750273</v>
      </c>
      <c r="AH64" s="3">
        <v>9.6853120607781867E-2</v>
      </c>
      <c r="AI64" s="3">
        <v>-0.28204093187225027</v>
      </c>
      <c r="AJ64" s="3">
        <v>0.74809964348296443</v>
      </c>
      <c r="AK64" s="4" t="s">
        <v>294</v>
      </c>
      <c r="AZ64" s="3" t="s">
        <v>69</v>
      </c>
      <c r="BA64" s="3">
        <v>59</v>
      </c>
      <c r="BB64" s="3">
        <f t="shared" si="17"/>
        <v>1.0851654860042803</v>
      </c>
      <c r="BC64" s="3">
        <f t="shared" si="18"/>
        <v>1.0742789823886938</v>
      </c>
      <c r="BD64" s="3">
        <f t="shared" si="20"/>
        <v>1.0836794835056653</v>
      </c>
      <c r="BE64" s="3">
        <f t="shared" si="21"/>
        <v>1.0689318760195481</v>
      </c>
      <c r="BF64" s="3">
        <f t="shared" si="22"/>
        <v>1.0869748242240185</v>
      </c>
      <c r="BH64" s="3">
        <f t="shared" si="23"/>
        <v>2.9098192442608695E-5</v>
      </c>
      <c r="BI64" s="3">
        <f t="shared" si="24"/>
        <v>-3.017428426219243E-4</v>
      </c>
      <c r="BJ64" s="3">
        <f t="shared" si="25"/>
        <v>-9.2467317673972094E-4</v>
      </c>
      <c r="BK64" s="3">
        <f t="shared" si="26"/>
        <v>-1.9455993531913157E-3</v>
      </c>
    </row>
    <row r="65" spans="1:63" x14ac:dyDescent="0.2">
      <c r="A65" s="3" t="s">
        <v>72</v>
      </c>
      <c r="B65" s="3">
        <v>81.849999999999994</v>
      </c>
      <c r="C65" s="3">
        <v>92.05</v>
      </c>
      <c r="D65" s="3">
        <v>16.344999999999999</v>
      </c>
      <c r="E65" s="3">
        <v>64.7</v>
      </c>
      <c r="F65" s="3">
        <v>54.05</v>
      </c>
      <c r="G65" s="3">
        <v>191</v>
      </c>
      <c r="H65" s="3">
        <v>40.817999999999998</v>
      </c>
      <c r="I65" s="3">
        <v>130.19999999999999</v>
      </c>
      <c r="J65" s="3">
        <v>12.54</v>
      </c>
      <c r="K65" s="3">
        <v>93.15</v>
      </c>
      <c r="L65" s="3">
        <v>29037.599609000001</v>
      </c>
      <c r="N65" s="3">
        <f t="shared" si="2"/>
        <v>-5.5130308086486224E-3</v>
      </c>
      <c r="O65" s="3">
        <f t="shared" si="3"/>
        <v>9.7298064883659663E-3</v>
      </c>
      <c r="P65" s="3">
        <f t="shared" si="4"/>
        <v>1.1617598909783311E-3</v>
      </c>
      <c r="Q65" s="3">
        <f t="shared" si="5"/>
        <v>2.3157092555976533E-3</v>
      </c>
      <c r="R65" s="3">
        <f t="shared" si="6"/>
        <v>2.7713643603832772E-3</v>
      </c>
      <c r="S65" s="3">
        <f t="shared" si="7"/>
        <v>-5.2493558861437251E-3</v>
      </c>
      <c r="T65" s="3">
        <f t="shared" si="8"/>
        <v>0</v>
      </c>
      <c r="U65" s="3">
        <f t="shared" si="9"/>
        <v>0</v>
      </c>
      <c r="V65" s="3">
        <f t="shared" si="10"/>
        <v>-1.5961695328221559E-3</v>
      </c>
      <c r="W65" s="3">
        <f t="shared" si="11"/>
        <v>-1.6116038943412292E-3</v>
      </c>
      <c r="X65" s="3">
        <f t="shared" si="12"/>
        <v>-8.9299648021441413E-3</v>
      </c>
      <c r="Z65" s="5" t="s">
        <v>276</v>
      </c>
      <c r="AA65" s="3">
        <v>0.34806790525818582</v>
      </c>
      <c r="AB65" s="3">
        <v>-0.22227313792553774</v>
      </c>
      <c r="AC65" s="3">
        <v>-0.24756342236273765</v>
      </c>
      <c r="AD65" s="3">
        <v>-0.26067012979622434</v>
      </c>
      <c r="AE65" s="3">
        <v>0.29229753284478988</v>
      </c>
      <c r="AF65" s="3">
        <v>4.8921141413223547E-2</v>
      </c>
      <c r="AG65" s="3">
        <v>-9.9417028445405536E-2</v>
      </c>
      <c r="AH65" s="3">
        <v>-0.41617713104599963</v>
      </c>
      <c r="AI65" s="3">
        <v>-0.3638810608876159</v>
      </c>
      <c r="AJ65" s="3">
        <v>-0.54486614743289663</v>
      </c>
      <c r="AK65" s="4" t="s">
        <v>295</v>
      </c>
      <c r="AZ65" s="3" t="s">
        <v>70</v>
      </c>
      <c r="BA65" s="3">
        <v>60</v>
      </c>
      <c r="BB65" s="3">
        <f t="shared" si="17"/>
        <v>1.085197062817836</v>
      </c>
      <c r="BC65" s="3">
        <f t="shared" si="18"/>
        <v>1.0739548752957357</v>
      </c>
      <c r="BD65" s="3">
        <f t="shared" si="20"/>
        <v>1.0826778972964002</v>
      </c>
      <c r="BE65" s="3">
        <f t="shared" si="21"/>
        <v>1.0668541846858166</v>
      </c>
      <c r="BF65" s="3">
        <f t="shared" si="22"/>
        <v>1.092536423514765</v>
      </c>
      <c r="BH65" s="3">
        <f t="shared" si="23"/>
        <v>-8.1269433289628268E-3</v>
      </c>
      <c r="BI65" s="3">
        <f t="shared" si="24"/>
        <v>-7.4898546009999067E-3</v>
      </c>
      <c r="BJ65" s="3">
        <f t="shared" si="25"/>
        <v>-6.7441457254849152E-3</v>
      </c>
      <c r="BK65" s="3">
        <f t="shared" si="26"/>
        <v>-4.9367379544580994E-3</v>
      </c>
    </row>
    <row r="66" spans="1:63" x14ac:dyDescent="0.2">
      <c r="A66" s="3" t="s">
        <v>73</v>
      </c>
      <c r="B66" s="3">
        <v>81.400000000000006</v>
      </c>
      <c r="C66" s="3">
        <v>92.95</v>
      </c>
      <c r="D66" s="3">
        <v>16.364000000000001</v>
      </c>
      <c r="E66" s="3">
        <v>64.849999999999994</v>
      </c>
      <c r="F66" s="3">
        <v>54.2</v>
      </c>
      <c r="G66" s="3">
        <v>190</v>
      </c>
      <c r="H66" s="3">
        <v>40.817999999999998</v>
      </c>
      <c r="I66" s="3">
        <v>130.19999999999999</v>
      </c>
      <c r="J66" s="3">
        <v>12.52</v>
      </c>
      <c r="K66" s="3">
        <v>93</v>
      </c>
      <c r="L66" s="3">
        <v>28779.449218999998</v>
      </c>
      <c r="N66" s="3">
        <f t="shared" si="2"/>
        <v>-1.8599420236266262E-2</v>
      </c>
      <c r="O66" s="3">
        <f t="shared" si="3"/>
        <v>-2.1751809203321315E-2</v>
      </c>
      <c r="P66" s="3">
        <f t="shared" si="4"/>
        <v>2.1975347630007747E-3</v>
      </c>
      <c r="Q66" s="3">
        <f t="shared" si="5"/>
        <v>-9.2951869871233939E-3</v>
      </c>
      <c r="R66" s="3">
        <f t="shared" si="6"/>
        <v>-3.6968618813260079E-3</v>
      </c>
      <c r="S66" s="3">
        <f t="shared" si="7"/>
        <v>-7.9260652724206793E-3</v>
      </c>
      <c r="T66" s="3">
        <f t="shared" si="8"/>
        <v>-1.0070628156705563E-2</v>
      </c>
      <c r="U66" s="3">
        <f t="shared" si="9"/>
        <v>-4.6189458562944097E-3</v>
      </c>
      <c r="V66" s="3">
        <f t="shared" si="10"/>
        <v>-8.0192891666195365E-3</v>
      </c>
      <c r="W66" s="3">
        <f t="shared" si="11"/>
        <v>-1.8448705552333244E-2</v>
      </c>
      <c r="X66" s="3">
        <f t="shared" si="12"/>
        <v>-1.9332294537372618E-2</v>
      </c>
      <c r="Z66" s="5" t="s">
        <v>277</v>
      </c>
      <c r="AA66" s="3">
        <v>0.28939656450712098</v>
      </c>
      <c r="AB66" s="3">
        <v>-0.31389639881826931</v>
      </c>
      <c r="AC66" s="3">
        <v>-0.13528129188782986</v>
      </c>
      <c r="AD66" s="3">
        <v>-0.23325561081346197</v>
      </c>
      <c r="AE66" s="3">
        <v>-0.83943003634332169</v>
      </c>
      <c r="AF66" s="3">
        <v>9.2352636445003078E-2</v>
      </c>
      <c r="AG66" s="3">
        <v>9.8809907860084645E-2</v>
      </c>
      <c r="AH66" s="3">
        <v>0.10597637917109128</v>
      </c>
      <c r="AI66" s="3">
        <v>5.2375467811178487E-2</v>
      </c>
      <c r="AJ66" s="3">
        <v>-9.0000530631378486E-2</v>
      </c>
      <c r="AK66" s="4" t="s">
        <v>296</v>
      </c>
      <c r="AZ66" s="3" t="s">
        <v>71</v>
      </c>
      <c r="BA66" s="3">
        <v>61</v>
      </c>
      <c r="BB66" s="3">
        <f t="shared" si="17"/>
        <v>1.0764134680204029</v>
      </c>
      <c r="BC66" s="3">
        <f t="shared" si="18"/>
        <v>1.0659411576843043</v>
      </c>
      <c r="BD66" s="3">
        <f t="shared" si="20"/>
        <v>1.0754007265159577</v>
      </c>
      <c r="BE66" s="3">
        <f t="shared" si="21"/>
        <v>1.0616003841289068</v>
      </c>
      <c r="BF66" s="3">
        <f t="shared" si="22"/>
        <v>1.0926122443905797</v>
      </c>
      <c r="BH66" s="3">
        <f t="shared" si="23"/>
        <v>3.8190858215644413E-3</v>
      </c>
      <c r="BI66" s="3">
        <f t="shared" si="24"/>
        <v>2.9692167637932476E-3</v>
      </c>
      <c r="BJ66" s="3">
        <f t="shared" si="25"/>
        <v>-9.1237578451718038E-4</v>
      </c>
      <c r="BK66" s="3">
        <f t="shared" si="26"/>
        <v>-8.0718817773422769E-3</v>
      </c>
    </row>
    <row r="67" spans="1:63" x14ac:dyDescent="0.2">
      <c r="A67" s="3" t="s">
        <v>74</v>
      </c>
      <c r="B67" s="3">
        <v>79.900000000000006</v>
      </c>
      <c r="C67" s="3">
        <v>90.95</v>
      </c>
      <c r="D67" s="3">
        <v>16.399999999999999</v>
      </c>
      <c r="E67" s="3">
        <v>64.25</v>
      </c>
      <c r="F67" s="3">
        <v>54</v>
      </c>
      <c r="G67" s="3">
        <v>188.5</v>
      </c>
      <c r="H67" s="3">
        <v>40.408999999999999</v>
      </c>
      <c r="I67" s="3">
        <v>129.6</v>
      </c>
      <c r="J67" s="3">
        <v>12.42</v>
      </c>
      <c r="K67" s="3">
        <v>91.3</v>
      </c>
      <c r="L67" s="3">
        <v>28228.419922000001</v>
      </c>
      <c r="N67" s="3">
        <f t="shared" si="2"/>
        <v>-1.8791111072751221E-3</v>
      </c>
      <c r="O67" s="3">
        <f t="shared" si="3"/>
        <v>7.1213667159533145E-3</v>
      </c>
      <c r="P67" s="3">
        <f t="shared" si="4"/>
        <v>6.6243519155784192E-3</v>
      </c>
      <c r="Q67" s="3">
        <f t="shared" si="5"/>
        <v>3.1080056098673481E-3</v>
      </c>
      <c r="R67" s="3">
        <f t="shared" si="6"/>
        <v>1.0133665714805229E-2</v>
      </c>
      <c r="S67" s="3">
        <f t="shared" si="7"/>
        <v>1.5902468233353062E-3</v>
      </c>
      <c r="T67" s="3">
        <f t="shared" si="8"/>
        <v>0</v>
      </c>
      <c r="U67" s="3">
        <f t="shared" si="9"/>
        <v>-3.0911925696726072E-3</v>
      </c>
      <c r="V67" s="3">
        <f t="shared" si="10"/>
        <v>-1.6116038943416733E-3</v>
      </c>
      <c r="W67" s="3">
        <f t="shared" si="11"/>
        <v>0</v>
      </c>
      <c r="X67" s="3">
        <f t="shared" si="12"/>
        <v>9.6906283371183122E-3</v>
      </c>
      <c r="AZ67" s="3" t="s">
        <v>72</v>
      </c>
      <c r="BA67" s="3">
        <v>62</v>
      </c>
      <c r="BB67" s="3">
        <f t="shared" si="17"/>
        <v>1.0805322434064302</v>
      </c>
      <c r="BC67" s="3">
        <f t="shared" si="18"/>
        <v>1.0691108714938593</v>
      </c>
      <c r="BD67" s="3">
        <f t="shared" si="20"/>
        <v>1.074420004396021</v>
      </c>
      <c r="BE67" s="3">
        <f t="shared" si="21"/>
        <v>1.0530657628998077</v>
      </c>
      <c r="BF67" s="3">
        <f t="shared" si="22"/>
        <v>1.0954794385958293</v>
      </c>
      <c r="BH67" s="3">
        <f t="shared" si="23"/>
        <v>1.9970212053393999E-4</v>
      </c>
      <c r="BI67" s="3">
        <f t="shared" si="24"/>
        <v>6.6634548164054563E-4</v>
      </c>
      <c r="BJ67" s="3">
        <f t="shared" si="25"/>
        <v>3.3282164999022534E-3</v>
      </c>
      <c r="BK67" s="3">
        <f t="shared" si="26"/>
        <v>7.588076582811458E-3</v>
      </c>
    </row>
    <row r="68" spans="1:63" x14ac:dyDescent="0.2">
      <c r="A68" s="3" t="s">
        <v>75</v>
      </c>
      <c r="B68" s="3">
        <v>79.75</v>
      </c>
      <c r="C68" s="3">
        <v>91.6</v>
      </c>
      <c r="D68" s="3">
        <v>16.509</v>
      </c>
      <c r="E68" s="3">
        <v>64.45</v>
      </c>
      <c r="F68" s="3">
        <v>54.55</v>
      </c>
      <c r="G68" s="3">
        <v>188.8</v>
      </c>
      <c r="H68" s="3">
        <v>40.408999999999999</v>
      </c>
      <c r="I68" s="3">
        <v>129.19999999999999</v>
      </c>
      <c r="J68" s="3">
        <v>12.4</v>
      </c>
      <c r="K68" s="3">
        <v>91.3</v>
      </c>
      <c r="L68" s="3">
        <v>28503.300781000002</v>
      </c>
      <c r="N68" s="3">
        <f t="shared" ref="N68:N131" si="54">LN(B69)-LN(B68)</f>
        <v>8.1174345199670483E-3</v>
      </c>
      <c r="O68" s="3">
        <f t="shared" ref="O68:O131" si="55">LN(C69)-LN(C68)</f>
        <v>3.2697576815570173E-3</v>
      </c>
      <c r="P68" s="3">
        <f t="shared" ref="P68:P131" si="56">LN(D69)-LN(D68)</f>
        <v>5.4970086167664967E-3</v>
      </c>
      <c r="Q68" s="3">
        <f t="shared" ref="Q68:Q131" si="57">LN(E69)-LN(E68)</f>
        <v>6.1871813772560458E-3</v>
      </c>
      <c r="R68" s="3">
        <f t="shared" ref="R68:R131" si="58">LN(F69)-LN(F68)</f>
        <v>6.3956362364048225E-3</v>
      </c>
      <c r="S68" s="3">
        <f t="shared" ref="S68:S131" si="59">LN(G69)-LN(G68)</f>
        <v>3.1729270405769228E-3</v>
      </c>
      <c r="T68" s="3">
        <f t="shared" ref="T68:T131" si="60">LN(H69)-LN(H68)</f>
        <v>1.1196947415855529E-2</v>
      </c>
      <c r="U68" s="3">
        <f t="shared" ref="U68:U131" si="61">LN(I69)-LN(I68)</f>
        <v>3.8624999738967603E-3</v>
      </c>
      <c r="V68" s="3">
        <f t="shared" ref="V68:V131" si="62">LN(J69)-LN(J68)</f>
        <v>1.2820688429061367E-2</v>
      </c>
      <c r="W68" s="3">
        <f t="shared" ref="W68:W131" si="63">LN(K69)-LN(K68)</f>
        <v>1.1976191046715101E-2</v>
      </c>
      <c r="X68" s="3">
        <f t="shared" ref="X68:X131" si="64">LN(L69)-LN(L68)</f>
        <v>1.4543552678356164E-2</v>
      </c>
      <c r="Z68" s="4" t="s">
        <v>266</v>
      </c>
      <c r="AZ68" s="3" t="s">
        <v>73</v>
      </c>
      <c r="BA68" s="3">
        <v>63</v>
      </c>
      <c r="BB68" s="3">
        <f t="shared" si="17"/>
        <v>1.0807480495344972</v>
      </c>
      <c r="BC68" s="3">
        <f t="shared" si="18"/>
        <v>1.0698235060965073</v>
      </c>
      <c r="BD68" s="3">
        <f t="shared" si="20"/>
        <v>1.0780018640783626</v>
      </c>
      <c r="BE68" s="3">
        <f t="shared" si="21"/>
        <v>1.0610869005715713</v>
      </c>
      <c r="BF68" s="3">
        <f t="shared" si="22"/>
        <v>1.0857403951446329</v>
      </c>
      <c r="BH68" s="3">
        <f t="shared" si="23"/>
        <v>-9.8373557295829139E-3</v>
      </c>
      <c r="BI68" s="3">
        <f t="shared" si="24"/>
        <v>-9.6197205377393166E-3</v>
      </c>
      <c r="BJ68" s="3">
        <f t="shared" si="25"/>
        <v>-7.6177001582226622E-3</v>
      </c>
      <c r="BK68" s="3">
        <f t="shared" si="26"/>
        <v>-4.8896361676970951E-3</v>
      </c>
    </row>
    <row r="69" spans="1:63" x14ac:dyDescent="0.2">
      <c r="A69" s="3" t="s">
        <v>76</v>
      </c>
      <c r="B69" s="3">
        <v>80.400000000000006</v>
      </c>
      <c r="C69" s="3">
        <v>91.9</v>
      </c>
      <c r="D69" s="3">
        <v>16.600000000000001</v>
      </c>
      <c r="E69" s="3">
        <v>64.849999999999994</v>
      </c>
      <c r="F69" s="3">
        <v>54.9</v>
      </c>
      <c r="G69" s="3">
        <v>189.4</v>
      </c>
      <c r="H69" s="3">
        <v>40.863999999999997</v>
      </c>
      <c r="I69" s="3">
        <v>129.69999999999999</v>
      </c>
      <c r="J69" s="3">
        <v>12.56</v>
      </c>
      <c r="K69" s="3">
        <v>92.4</v>
      </c>
      <c r="L69" s="3">
        <v>28920.869140999999</v>
      </c>
      <c r="N69" s="3">
        <f t="shared" si="54"/>
        <v>-4.9875415110394172E-3</v>
      </c>
      <c r="O69" s="3">
        <f t="shared" si="55"/>
        <v>-6.0027465376260025E-3</v>
      </c>
      <c r="P69" s="3">
        <f t="shared" si="56"/>
        <v>1.0837498802915846E-3</v>
      </c>
      <c r="Q69" s="3">
        <f t="shared" si="57"/>
        <v>-6.9632776521446615E-3</v>
      </c>
      <c r="R69" s="3">
        <f t="shared" si="58"/>
        <v>-4.5641338929369724E-3</v>
      </c>
      <c r="S69" s="3">
        <f t="shared" si="59"/>
        <v>-4.2328105526205917E-3</v>
      </c>
      <c r="T69" s="3">
        <f t="shared" si="60"/>
        <v>-4.4637456698333189E-3</v>
      </c>
      <c r="U69" s="3">
        <f t="shared" si="61"/>
        <v>4.6153928084011753E-3</v>
      </c>
      <c r="V69" s="3">
        <f t="shared" si="62"/>
        <v>0</v>
      </c>
      <c r="W69" s="3">
        <f t="shared" si="63"/>
        <v>4.8583091510767673E-3</v>
      </c>
      <c r="X69" s="3">
        <f t="shared" si="64"/>
        <v>-3.9294429895306848E-3</v>
      </c>
      <c r="AA69" s="5">
        <f>SUM($AA56:AA56)</f>
        <v>5.6509079706213985</v>
      </c>
      <c r="AB69" s="5">
        <f>SUM($AA56:AB56)</f>
        <v>6.5361963377587164</v>
      </c>
      <c r="AC69" s="5">
        <f>SUM($AA56:AC56)</f>
        <v>7.2413854518067202</v>
      </c>
      <c r="AD69" s="5">
        <f>SUM($AA56:AD56)</f>
        <v>7.8787561705216298</v>
      </c>
      <c r="AE69" s="3">
        <f>SUM($AA56:AE56)</f>
        <v>8.415901303273932</v>
      </c>
      <c r="AF69" s="3">
        <f>SUM($AA56:AF56)</f>
        <v>8.895442373140952</v>
      </c>
      <c r="AG69" s="3">
        <f>SUM($AA56:AG56)</f>
        <v>9.3070025602496376</v>
      </c>
      <c r="AH69" s="3">
        <f>SUM($AA56:AH56)</f>
        <v>9.5921365443891329</v>
      </c>
      <c r="AI69" s="3">
        <f>SUM($AA56:AI56)</f>
        <v>9.8138244742533356</v>
      </c>
      <c r="AJ69" s="3">
        <f>SUM($AA56:AJ56)</f>
        <v>9.9999999999999964</v>
      </c>
      <c r="AZ69" s="3" t="s">
        <v>74</v>
      </c>
      <c r="BA69" s="3">
        <v>64</v>
      </c>
      <c r="BB69" s="3">
        <f t="shared" ref="BB69:BB132" si="65">SUMPRODUCT(AM$5:AV$5,B67:K67)</f>
        <v>1.0701684693823919</v>
      </c>
      <c r="BC69" s="3">
        <f t="shared" ref="BC69:BC132" si="66">SUMPRODUCT(AM$13:AV$13,B67:K67)</f>
        <v>1.0595814448092187</v>
      </c>
      <c r="BD69" s="3">
        <f t="shared" si="20"/>
        <v>1.0698211677138105</v>
      </c>
      <c r="BE69" s="3">
        <f t="shared" si="21"/>
        <v>1.0559112355567706</v>
      </c>
      <c r="BF69" s="3">
        <f t="shared" si="22"/>
        <v>1.0649521318909334</v>
      </c>
      <c r="BH69" s="3">
        <f t="shared" si="23"/>
        <v>2.1320062062278461E-3</v>
      </c>
      <c r="BI69" s="3">
        <f t="shared" si="24"/>
        <v>3.0394443894597029E-3</v>
      </c>
      <c r="BJ69" s="3">
        <f t="shared" si="25"/>
        <v>7.1770961476443768E-3</v>
      </c>
      <c r="BK69" s="3">
        <f t="shared" si="26"/>
        <v>1.4451080797111313E-2</v>
      </c>
    </row>
    <row r="70" spans="1:63" x14ac:dyDescent="0.2">
      <c r="A70" s="3" t="s">
        <v>77</v>
      </c>
      <c r="B70" s="3">
        <v>80</v>
      </c>
      <c r="C70" s="3">
        <v>91.35</v>
      </c>
      <c r="D70" s="3">
        <v>16.617999999999999</v>
      </c>
      <c r="E70" s="3">
        <v>64.400000000000006</v>
      </c>
      <c r="F70" s="3">
        <v>54.65</v>
      </c>
      <c r="G70" s="3">
        <v>188.6</v>
      </c>
      <c r="H70" s="3">
        <v>40.682000000000002</v>
      </c>
      <c r="I70" s="3">
        <v>130.30000000000001</v>
      </c>
      <c r="J70" s="3">
        <v>12.56</v>
      </c>
      <c r="K70" s="3">
        <v>92.85</v>
      </c>
      <c r="L70" s="3">
        <v>28807.449218999998</v>
      </c>
      <c r="N70" s="3">
        <f t="shared" si="54"/>
        <v>3.7429862788345147E-3</v>
      </c>
      <c r="O70" s="3">
        <f t="shared" si="55"/>
        <v>-2.740478558103554E-3</v>
      </c>
      <c r="P70" s="3">
        <f t="shared" si="56"/>
        <v>1.0825766378759205E-3</v>
      </c>
      <c r="Q70" s="3">
        <f t="shared" si="57"/>
        <v>3.8744721075589794E-3</v>
      </c>
      <c r="R70" s="3">
        <f t="shared" si="58"/>
        <v>1.8281540740625601E-3</v>
      </c>
      <c r="S70" s="3">
        <f t="shared" si="59"/>
        <v>9.4987521579081857E-3</v>
      </c>
      <c r="T70" s="3">
        <f t="shared" si="60"/>
        <v>-3.373265783774837E-3</v>
      </c>
      <c r="U70" s="3">
        <f t="shared" si="61"/>
        <v>-8.4778927822979355E-3</v>
      </c>
      <c r="V70" s="3">
        <f t="shared" si="62"/>
        <v>6.3492276786587531E-3</v>
      </c>
      <c r="W70" s="3">
        <f t="shared" si="63"/>
        <v>-5.3995811534663929E-3</v>
      </c>
      <c r="X70" s="3">
        <f t="shared" si="64"/>
        <v>1.5241865644792796E-3</v>
      </c>
      <c r="AA70" s="4" t="s">
        <v>267</v>
      </c>
      <c r="AZ70" s="3" t="s">
        <v>75</v>
      </c>
      <c r="BA70" s="3">
        <v>65</v>
      </c>
      <c r="BB70" s="3">
        <f t="shared" si="65"/>
        <v>1.0724525091291164</v>
      </c>
      <c r="BC70" s="3">
        <f t="shared" si="66"/>
        <v>1.0628068829736768</v>
      </c>
      <c r="BD70" s="3">
        <f t="shared" ref="BD70:BD133" si="67">SUMPRODUCT(AM$30:AV$30,B68:K68)/SUMPRODUCT(AM$30:AV$30,B$3:K$3)</f>
        <v>1.0775269967555445</v>
      </c>
      <c r="BE70" s="3">
        <f t="shared" ref="BE70:BE133" si="68">SUMPRODUCT(AM$41:AV$41,B68:K68)/SUMPRODUCT(AM$41:AV$41,B$3:K$3)</f>
        <v>1.0712810821059306</v>
      </c>
      <c r="BF70" s="3">
        <f t="shared" ref="BF70:BF133" si="69">L68/L$3</f>
        <v>1.0753223530232865</v>
      </c>
      <c r="BH70" s="3">
        <f t="shared" ref="BH70:BH133" si="70">LN(BB71)-LN(BB70)</f>
        <v>7.2961458340239926E-3</v>
      </c>
      <c r="BI70" s="3">
        <f t="shared" ref="BI70:BI133" si="71">LN(BC71)-LN(BC70)</f>
        <v>6.8933796665398492E-3</v>
      </c>
      <c r="BJ70" s="3">
        <f t="shared" ref="BJ70:BJ133" si="72">LN(BD71)-LN(BD70)</f>
        <v>5.5670530700367149E-3</v>
      </c>
      <c r="BK70" s="3">
        <f t="shared" ref="BK70:BK133" si="73">LN(BE71)-LN(BE70)</f>
        <v>3.3841269602815083E-3</v>
      </c>
    </row>
    <row r="71" spans="1:63" x14ac:dyDescent="0.2">
      <c r="A71" s="3" t="s">
        <v>78</v>
      </c>
      <c r="B71" s="3">
        <v>80.3</v>
      </c>
      <c r="C71" s="3">
        <v>91.1</v>
      </c>
      <c r="D71" s="3">
        <v>16.635999999999999</v>
      </c>
      <c r="E71" s="3">
        <v>64.650000000000006</v>
      </c>
      <c r="F71" s="3">
        <v>54.75</v>
      </c>
      <c r="G71" s="3">
        <v>190.4</v>
      </c>
      <c r="H71" s="3">
        <v>40.545000000000002</v>
      </c>
      <c r="I71" s="3">
        <v>129.19999999999999</v>
      </c>
      <c r="J71" s="3">
        <v>12.64</v>
      </c>
      <c r="K71" s="3">
        <v>92.35</v>
      </c>
      <c r="L71" s="3">
        <v>28851.390625</v>
      </c>
      <c r="N71" s="3">
        <f t="shared" si="54"/>
        <v>7.4442031117305518E-3</v>
      </c>
      <c r="O71" s="3">
        <f t="shared" si="55"/>
        <v>5.4869685875935659E-4</v>
      </c>
      <c r="P71" s="3">
        <f t="shared" si="56"/>
        <v>-2.1663265181675051E-3</v>
      </c>
      <c r="Q71" s="3">
        <f t="shared" si="57"/>
        <v>3.0888055445856821E-3</v>
      </c>
      <c r="R71" s="3">
        <f t="shared" si="58"/>
        <v>6.3723474622587872E-3</v>
      </c>
      <c r="S71" s="3">
        <f t="shared" si="59"/>
        <v>5.2507220949049582E-4</v>
      </c>
      <c r="T71" s="3">
        <f t="shared" si="60"/>
        <v>6.7106921944581899E-3</v>
      </c>
      <c r="U71" s="3">
        <f t="shared" si="61"/>
        <v>7.7369442931018995E-4</v>
      </c>
      <c r="V71" s="3">
        <f t="shared" si="62"/>
        <v>7.8802614253059566E-3</v>
      </c>
      <c r="W71" s="3">
        <f t="shared" si="63"/>
        <v>3.0394235152071403E-2</v>
      </c>
      <c r="X71" s="3">
        <f t="shared" si="64"/>
        <v>5.5602975055144555E-3</v>
      </c>
      <c r="AZ71" s="3" t="s">
        <v>76</v>
      </c>
      <c r="BA71" s="3">
        <v>66</v>
      </c>
      <c r="BB71" s="3">
        <f t="shared" si="65"/>
        <v>1.080305893917415</v>
      </c>
      <c r="BC71" s="3">
        <f t="shared" si="66"/>
        <v>1.0701585240450959</v>
      </c>
      <c r="BD71" s="3">
        <f t="shared" si="67"/>
        <v>1.0835423751605391</v>
      </c>
      <c r="BE71" s="3">
        <f t="shared" si="68"/>
        <v>1.0749125745479153</v>
      </c>
      <c r="BF71" s="3">
        <f t="shared" si="69"/>
        <v>1.0910756369981232</v>
      </c>
      <c r="BH71" s="3">
        <f t="shared" si="70"/>
        <v>-1.8791768074498949E-3</v>
      </c>
      <c r="BI71" s="3">
        <f t="shared" si="71"/>
        <v>-2.4142876314297984E-3</v>
      </c>
      <c r="BJ71" s="3">
        <f t="shared" si="72"/>
        <v>-3.2372471830066502E-3</v>
      </c>
      <c r="BK71" s="3">
        <f t="shared" si="73"/>
        <v>-5.3428249661497673E-3</v>
      </c>
    </row>
    <row r="72" spans="1:63" x14ac:dyDescent="0.2">
      <c r="A72" s="3" t="s">
        <v>79</v>
      </c>
      <c r="B72" s="3">
        <v>80.900000000000006</v>
      </c>
      <c r="C72" s="3">
        <v>91.15</v>
      </c>
      <c r="D72" s="3">
        <v>16.600000000000001</v>
      </c>
      <c r="E72" s="3">
        <v>64.849999999999994</v>
      </c>
      <c r="F72" s="3">
        <v>55.1</v>
      </c>
      <c r="G72" s="3">
        <v>190.5</v>
      </c>
      <c r="H72" s="3">
        <v>40.817999999999998</v>
      </c>
      <c r="I72" s="3">
        <v>129.30000000000001</v>
      </c>
      <c r="J72" s="3">
        <v>12.74</v>
      </c>
      <c r="K72" s="3">
        <v>95.2</v>
      </c>
      <c r="L72" s="3">
        <v>29012.259765999999</v>
      </c>
      <c r="N72" s="3">
        <f t="shared" si="54"/>
        <v>6.1785605919784103E-4</v>
      </c>
      <c r="O72" s="3">
        <f t="shared" si="55"/>
        <v>6.0158781377479542E-3</v>
      </c>
      <c r="P72" s="3">
        <f t="shared" si="56"/>
        <v>6.5448010495083864E-3</v>
      </c>
      <c r="Q72" s="3">
        <f t="shared" si="57"/>
        <v>3.8476384520711449E-3</v>
      </c>
      <c r="R72" s="3">
        <f t="shared" si="58"/>
        <v>9.0702954064258989E-4</v>
      </c>
      <c r="S72" s="3">
        <f t="shared" si="59"/>
        <v>6.8009678825822206E-3</v>
      </c>
      <c r="T72" s="3">
        <f t="shared" si="60"/>
        <v>1.2175079778458109E-2</v>
      </c>
      <c r="U72" s="3">
        <f t="shared" si="61"/>
        <v>1.0003931064519023E-2</v>
      </c>
      <c r="V72" s="3">
        <f t="shared" si="62"/>
        <v>4.6985207815541941E-3</v>
      </c>
      <c r="W72" s="3">
        <f t="shared" si="63"/>
        <v>1.0969031370573923E-2</v>
      </c>
      <c r="X72" s="3">
        <f t="shared" si="64"/>
        <v>1.3582590818497664E-2</v>
      </c>
      <c r="AZ72" s="3" t="s">
        <v>77</v>
      </c>
      <c r="BA72" s="3">
        <v>67</v>
      </c>
      <c r="BB72" s="3">
        <f t="shared" si="65"/>
        <v>1.0782777143874245</v>
      </c>
      <c r="BC72" s="3">
        <f t="shared" si="66"/>
        <v>1.0675779699102474</v>
      </c>
      <c r="BD72" s="3">
        <f t="shared" si="67"/>
        <v>1.0800403521742714</v>
      </c>
      <c r="BE72" s="3">
        <f t="shared" si="68"/>
        <v>1.0691848196294438</v>
      </c>
      <c r="BF72" s="3">
        <f t="shared" si="69"/>
        <v>1.0867967298518302</v>
      </c>
      <c r="BH72" s="3">
        <f t="shared" si="70"/>
        <v>5.3998927912549122E-4</v>
      </c>
      <c r="BI72" s="3">
        <f t="shared" si="71"/>
        <v>7.7552692995414008E-4</v>
      </c>
      <c r="BJ72" s="3">
        <f t="shared" si="72"/>
        <v>4.8716583521708767E-4</v>
      </c>
      <c r="BK72" s="3">
        <f t="shared" si="73"/>
        <v>6.1314581429830484E-4</v>
      </c>
    </row>
    <row r="73" spans="1:63" x14ac:dyDescent="0.2">
      <c r="A73" s="3" t="s">
        <v>80</v>
      </c>
      <c r="B73" s="3">
        <v>80.95</v>
      </c>
      <c r="C73" s="3">
        <v>91.7</v>
      </c>
      <c r="D73" s="3">
        <v>16.709</v>
      </c>
      <c r="E73" s="3">
        <v>65.099999999999994</v>
      </c>
      <c r="F73" s="3">
        <v>55.15</v>
      </c>
      <c r="G73" s="3">
        <v>191.8</v>
      </c>
      <c r="H73" s="3">
        <v>41.317999999999998</v>
      </c>
      <c r="I73" s="3">
        <v>130.6</v>
      </c>
      <c r="J73" s="3">
        <v>12.8</v>
      </c>
      <c r="K73" s="3">
        <v>96.25</v>
      </c>
      <c r="L73" s="3">
        <v>29409.009765999999</v>
      </c>
      <c r="N73" s="3">
        <f t="shared" si="54"/>
        <v>-6.1958066852518812E-3</v>
      </c>
      <c r="O73" s="3">
        <f t="shared" si="55"/>
        <v>-7.6628727455698709E-3</v>
      </c>
      <c r="P73" s="3">
        <f t="shared" si="56"/>
        <v>-1.0778444157257816E-3</v>
      </c>
      <c r="Q73" s="3">
        <f t="shared" si="57"/>
        <v>3.8328908557074826E-3</v>
      </c>
      <c r="R73" s="3">
        <f t="shared" si="58"/>
        <v>-9.1075310769639373E-3</v>
      </c>
      <c r="S73" s="3">
        <f t="shared" si="59"/>
        <v>1.0422095784434759E-3</v>
      </c>
      <c r="T73" s="3">
        <f t="shared" si="60"/>
        <v>3.3102611987452235E-3</v>
      </c>
      <c r="U73" s="3">
        <f t="shared" si="61"/>
        <v>1.5302221807678151E-3</v>
      </c>
      <c r="V73" s="3">
        <f t="shared" si="62"/>
        <v>1.5612805669524832E-3</v>
      </c>
      <c r="W73" s="3">
        <f t="shared" si="63"/>
        <v>2.716026546077277E-2</v>
      </c>
      <c r="X73" s="3">
        <f t="shared" si="64"/>
        <v>1.9454528368090251E-3</v>
      </c>
      <c r="AZ73" s="3" t="s">
        <v>78</v>
      </c>
      <c r="BA73" s="3">
        <v>68</v>
      </c>
      <c r="BB73" s="3">
        <f t="shared" si="65"/>
        <v>1.0788601300280625</v>
      </c>
      <c r="BC73" s="3">
        <f t="shared" si="66"/>
        <v>1.0684062265018721</v>
      </c>
      <c r="BD73" s="3">
        <f t="shared" si="67"/>
        <v>1.0805666391186073</v>
      </c>
      <c r="BE73" s="3">
        <f t="shared" si="68"/>
        <v>1.0698405868462284</v>
      </c>
      <c r="BF73" s="3">
        <f t="shared" si="69"/>
        <v>1.0884544738604318</v>
      </c>
      <c r="BH73" s="3">
        <f t="shared" si="70"/>
        <v>6.1332842027637391E-3</v>
      </c>
      <c r="BI73" s="3">
        <f t="shared" si="71"/>
        <v>5.5578928767499036E-3</v>
      </c>
      <c r="BJ73" s="3">
        <f t="shared" si="72"/>
        <v>1.9863787050560938E-3</v>
      </c>
      <c r="BK73" s="3">
        <f t="shared" si="73"/>
        <v>-2.6873662956990452E-3</v>
      </c>
    </row>
    <row r="74" spans="1:63" x14ac:dyDescent="0.2">
      <c r="A74" s="3" t="s">
        <v>81</v>
      </c>
      <c r="B74" s="3">
        <v>80.45</v>
      </c>
      <c r="C74" s="3">
        <v>91</v>
      </c>
      <c r="D74" s="3">
        <v>16.690999999999999</v>
      </c>
      <c r="E74" s="3">
        <v>65.349999999999994</v>
      </c>
      <c r="F74" s="3">
        <v>54.65</v>
      </c>
      <c r="G74" s="3">
        <v>192</v>
      </c>
      <c r="H74" s="3">
        <v>41.454999999999998</v>
      </c>
      <c r="I74" s="3">
        <v>130.80000000000001</v>
      </c>
      <c r="J74" s="3">
        <v>12.82</v>
      </c>
      <c r="K74" s="3">
        <v>98.9</v>
      </c>
      <c r="L74" s="3">
        <v>29466.279297000001</v>
      </c>
      <c r="N74" s="3">
        <f t="shared" si="54"/>
        <v>2.5162419902242661E-2</v>
      </c>
      <c r="O74" s="3">
        <f t="shared" si="55"/>
        <v>-1.1049836186584727E-2</v>
      </c>
      <c r="P74" s="3">
        <f t="shared" si="56"/>
        <v>-1.7588317166127521E-2</v>
      </c>
      <c r="Q74" s="3">
        <f t="shared" si="57"/>
        <v>-4.6012351117168393E-3</v>
      </c>
      <c r="R74" s="3">
        <f t="shared" si="58"/>
        <v>-3.6663652435779959E-3</v>
      </c>
      <c r="S74" s="3">
        <f t="shared" si="59"/>
        <v>-8.3682496705161924E-3</v>
      </c>
      <c r="T74" s="3">
        <f t="shared" si="60"/>
        <v>1.0892099430346303E-2</v>
      </c>
      <c r="U74" s="3">
        <f t="shared" si="61"/>
        <v>-1.5302221807678151E-3</v>
      </c>
      <c r="V74" s="3">
        <f t="shared" si="62"/>
        <v>-9.4044580279781798E-3</v>
      </c>
      <c r="W74" s="3">
        <f t="shared" si="63"/>
        <v>1.6048488870463729E-2</v>
      </c>
      <c r="X74" s="3">
        <f t="shared" si="64"/>
        <v>-4.9435511927953257E-3</v>
      </c>
      <c r="AZ74" s="3" t="s">
        <v>79</v>
      </c>
      <c r="BA74" s="3">
        <v>69</v>
      </c>
      <c r="BB74" s="3">
        <f t="shared" si="65"/>
        <v>1.0854974192046571</v>
      </c>
      <c r="BC74" s="3">
        <f t="shared" si="66"/>
        <v>1.0743608460982801</v>
      </c>
      <c r="BD74" s="3">
        <f t="shared" si="67"/>
        <v>1.0827151868882543</v>
      </c>
      <c r="BE74" s="3">
        <f t="shared" si="68"/>
        <v>1.0669693930140984</v>
      </c>
      <c r="BF74" s="3">
        <f t="shared" si="69"/>
        <v>1.0945234616088355</v>
      </c>
      <c r="BH74" s="3">
        <f t="shared" si="70"/>
        <v>6.3957486699873223E-3</v>
      </c>
      <c r="BI74" s="3">
        <f t="shared" si="71"/>
        <v>5.8544130413636652E-3</v>
      </c>
      <c r="BJ74" s="3">
        <f t="shared" si="72"/>
        <v>3.8773363180726328E-3</v>
      </c>
      <c r="BK74" s="3">
        <f t="shared" si="73"/>
        <v>-3.3215721062948567E-4</v>
      </c>
    </row>
    <row r="75" spans="1:63" x14ac:dyDescent="0.2">
      <c r="A75" s="3" t="s">
        <v>82</v>
      </c>
      <c r="B75" s="3">
        <v>82.5</v>
      </c>
      <c r="C75" s="3">
        <v>90</v>
      </c>
      <c r="D75" s="3">
        <v>16.399999999999999</v>
      </c>
      <c r="E75" s="3">
        <v>65.05</v>
      </c>
      <c r="F75" s="3">
        <v>54.45</v>
      </c>
      <c r="G75" s="3">
        <v>190.4</v>
      </c>
      <c r="H75" s="3">
        <v>41.908999999999999</v>
      </c>
      <c r="I75" s="3">
        <v>130.6</v>
      </c>
      <c r="J75" s="3">
        <v>12.7</v>
      </c>
      <c r="K75" s="3">
        <v>100.5</v>
      </c>
      <c r="L75" s="3">
        <v>29320.970702999999</v>
      </c>
      <c r="N75" s="3">
        <f t="shared" si="54"/>
        <v>-1.0969031370573923E-2</v>
      </c>
      <c r="O75" s="3">
        <f t="shared" si="55"/>
        <v>7.1962668705953803E-3</v>
      </c>
      <c r="P75" s="3">
        <f t="shared" si="56"/>
        <v>1.9742845499719053E-2</v>
      </c>
      <c r="Q75" s="3">
        <f t="shared" si="57"/>
        <v>-3.8506016002859411E-3</v>
      </c>
      <c r="R75" s="3">
        <f t="shared" si="58"/>
        <v>-1.4801380302261968E-2</v>
      </c>
      <c r="S75" s="3">
        <f t="shared" si="59"/>
        <v>3.6697288889619983E-3</v>
      </c>
      <c r="T75" s="3">
        <f t="shared" si="60"/>
        <v>2.3580993142344298E-2</v>
      </c>
      <c r="U75" s="3">
        <f t="shared" si="61"/>
        <v>-3.0674870678621957E-3</v>
      </c>
      <c r="V75" s="3">
        <f t="shared" si="62"/>
        <v>-1.9078480105238604E-2</v>
      </c>
      <c r="W75" s="3">
        <f t="shared" si="63"/>
        <v>-7.4906717291574054E-3</v>
      </c>
      <c r="X75" s="3">
        <f t="shared" si="64"/>
        <v>-8.5425881495932998E-3</v>
      </c>
      <c r="AZ75" s="3" t="s">
        <v>80</v>
      </c>
      <c r="BA75" s="3">
        <v>70</v>
      </c>
      <c r="BB75" s="3">
        <f t="shared" si="65"/>
        <v>1.0924622367494299</v>
      </c>
      <c r="BC75" s="3">
        <f t="shared" si="66"/>
        <v>1.0806690456322792</v>
      </c>
      <c r="BD75" s="3">
        <f t="shared" si="67"/>
        <v>1.0869213869610825</v>
      </c>
      <c r="BE75" s="3">
        <f t="shared" si="68"/>
        <v>1.0666150502886913</v>
      </c>
      <c r="BF75" s="3">
        <f t="shared" si="69"/>
        <v>1.1094913471474246</v>
      </c>
      <c r="BH75" s="3">
        <f t="shared" si="70"/>
        <v>1.6469085694908459E-3</v>
      </c>
      <c r="BI75" s="3">
        <f t="shared" si="71"/>
        <v>5.7088363250741569E-4</v>
      </c>
      <c r="BJ75" s="3">
        <f t="shared" si="72"/>
        <v>-7.5249602764539264E-3</v>
      </c>
      <c r="BK75" s="3">
        <f t="shared" si="73"/>
        <v>-2.0604186568386279E-2</v>
      </c>
    </row>
    <row r="76" spans="1:63" x14ac:dyDescent="0.2">
      <c r="A76" s="3" t="s">
        <v>83</v>
      </c>
      <c r="B76" s="3">
        <v>81.599999999999994</v>
      </c>
      <c r="C76" s="3">
        <v>90.65</v>
      </c>
      <c r="D76" s="3">
        <v>16.727</v>
      </c>
      <c r="E76" s="3">
        <v>64.8</v>
      </c>
      <c r="F76" s="3">
        <v>53.65</v>
      </c>
      <c r="G76" s="3">
        <v>191.1</v>
      </c>
      <c r="H76" s="3">
        <v>42.908999999999999</v>
      </c>
      <c r="I76" s="3">
        <v>130.19999999999999</v>
      </c>
      <c r="J76" s="3">
        <v>12.46</v>
      </c>
      <c r="K76" s="3">
        <v>99.75</v>
      </c>
      <c r="L76" s="3">
        <v>29071.560547000001</v>
      </c>
      <c r="N76" s="3">
        <f t="shared" si="54"/>
        <v>2.6603745517975952E-2</v>
      </c>
      <c r="O76" s="3">
        <f t="shared" si="55"/>
        <v>5.5005639238112636E-3</v>
      </c>
      <c r="P76" s="3">
        <f t="shared" si="56"/>
        <v>-4.3137086842288674E-3</v>
      </c>
      <c r="Q76" s="3">
        <f t="shared" si="57"/>
        <v>-7.7190277858107947E-4</v>
      </c>
      <c r="R76" s="3">
        <f t="shared" si="58"/>
        <v>4.6490088382435957E-3</v>
      </c>
      <c r="S76" s="3">
        <f t="shared" si="59"/>
        <v>2.6130142905325116E-3</v>
      </c>
      <c r="T76" s="3">
        <f t="shared" si="60"/>
        <v>9.4866588744317859E-3</v>
      </c>
      <c r="U76" s="3">
        <f t="shared" si="61"/>
        <v>3.8328908557074826E-3</v>
      </c>
      <c r="V76" s="3">
        <f t="shared" si="62"/>
        <v>-1.4551590640310863E-2</v>
      </c>
      <c r="W76" s="3">
        <f t="shared" si="63"/>
        <v>-5.0137880218059649E-4</v>
      </c>
      <c r="X76" s="3">
        <f t="shared" si="64"/>
        <v>1.4367583644130377E-3</v>
      </c>
      <c r="AZ76" s="3" t="s">
        <v>81</v>
      </c>
      <c r="BA76" s="3">
        <v>71</v>
      </c>
      <c r="BB76" s="3">
        <f t="shared" si="65"/>
        <v>1.0942629045295795</v>
      </c>
      <c r="BC76" s="3">
        <f t="shared" si="66"/>
        <v>1.0812861580355131</v>
      </c>
      <c r="BD76" s="3">
        <f t="shared" si="67"/>
        <v>1.0787730431323668</v>
      </c>
      <c r="BE76" s="3">
        <f t="shared" si="68"/>
        <v>1.0448631741787764</v>
      </c>
      <c r="BF76" s="3">
        <f t="shared" si="69"/>
        <v>1.1116519111924321</v>
      </c>
      <c r="BH76" s="3">
        <f t="shared" si="70"/>
        <v>-5.6826583873620384E-4</v>
      </c>
      <c r="BI76" s="3">
        <f t="shared" si="71"/>
        <v>-1.3375481029485881E-3</v>
      </c>
      <c r="BJ76" s="3">
        <f t="shared" si="72"/>
        <v>-7.2951646310506352E-3</v>
      </c>
      <c r="BK76" s="3">
        <f t="shared" si="73"/>
        <v>-1.529086946657927E-2</v>
      </c>
    </row>
    <row r="77" spans="1:63" x14ac:dyDescent="0.2">
      <c r="A77" s="3" t="s">
        <v>84</v>
      </c>
      <c r="B77" s="3">
        <v>83.8</v>
      </c>
      <c r="C77" s="3">
        <v>91.15</v>
      </c>
      <c r="D77" s="3">
        <v>16.655000000000001</v>
      </c>
      <c r="E77" s="3">
        <v>64.75</v>
      </c>
      <c r="F77" s="3">
        <v>53.9</v>
      </c>
      <c r="G77" s="3">
        <v>191.6</v>
      </c>
      <c r="H77" s="3">
        <v>43.317999999999998</v>
      </c>
      <c r="I77" s="3">
        <v>130.69999999999999</v>
      </c>
      <c r="J77" s="3">
        <v>12.28</v>
      </c>
      <c r="K77" s="3">
        <v>99.7</v>
      </c>
      <c r="L77" s="3">
        <v>29113.359375</v>
      </c>
      <c r="N77" s="3">
        <f t="shared" si="54"/>
        <v>-1.0194990851583263E-2</v>
      </c>
      <c r="O77" s="3">
        <f t="shared" si="55"/>
        <v>-8.8154840864342887E-3</v>
      </c>
      <c r="P77" s="3">
        <f t="shared" si="56"/>
        <v>-5.4788059623223084E-3</v>
      </c>
      <c r="Q77" s="3">
        <f t="shared" si="57"/>
        <v>-1.634913800153015E-2</v>
      </c>
      <c r="R77" s="3">
        <f t="shared" si="58"/>
        <v>-2.786810907179138E-3</v>
      </c>
      <c r="S77" s="3">
        <f t="shared" si="59"/>
        <v>-1.0493275715838024E-2</v>
      </c>
      <c r="T77" s="3">
        <f t="shared" si="60"/>
        <v>-4.2103377254623098E-3</v>
      </c>
      <c r="U77" s="3">
        <f t="shared" si="61"/>
        <v>-5.3701701745936248E-3</v>
      </c>
      <c r="V77" s="3">
        <f t="shared" si="62"/>
        <v>-8.1766604372455198E-3</v>
      </c>
      <c r="W77" s="3">
        <f t="shared" si="63"/>
        <v>-1.2109128789749235E-2</v>
      </c>
      <c r="X77" s="3">
        <f t="shared" si="64"/>
        <v>-2.0474117511142254E-2</v>
      </c>
      <c r="AZ77" s="3" t="s">
        <v>82</v>
      </c>
      <c r="BA77" s="3">
        <v>72</v>
      </c>
      <c r="BB77" s="3">
        <f t="shared" si="65"/>
        <v>1.0936412489518823</v>
      </c>
      <c r="BC77" s="3">
        <f t="shared" si="66"/>
        <v>1.0798408525843455</v>
      </c>
      <c r="BD77" s="3">
        <f t="shared" si="67"/>
        <v>1.0709318523472928</v>
      </c>
      <c r="BE77" s="3">
        <f t="shared" si="68"/>
        <v>1.029007837640378</v>
      </c>
      <c r="BF77" s="3">
        <f t="shared" si="69"/>
        <v>1.1061699643675666</v>
      </c>
      <c r="BH77" s="3">
        <f t="shared" si="70"/>
        <v>-3.0492099250285787E-4</v>
      </c>
      <c r="BI77" s="3">
        <f t="shared" si="71"/>
        <v>-1.665997629217153E-4</v>
      </c>
      <c r="BJ77" s="3">
        <f t="shared" si="72"/>
        <v>6.3695764412548261E-4</v>
      </c>
      <c r="BK77" s="3">
        <f t="shared" si="73"/>
        <v>-6.9005159568772192E-4</v>
      </c>
    </row>
    <row r="78" spans="1:63" x14ac:dyDescent="0.2">
      <c r="A78" s="3" t="s">
        <v>85</v>
      </c>
      <c r="B78" s="3">
        <v>82.95</v>
      </c>
      <c r="C78" s="3">
        <v>90.35</v>
      </c>
      <c r="D78" s="3">
        <v>16.564</v>
      </c>
      <c r="E78" s="3">
        <v>63.7</v>
      </c>
      <c r="F78" s="3">
        <v>53.75</v>
      </c>
      <c r="G78" s="3">
        <v>189.6</v>
      </c>
      <c r="H78" s="3">
        <v>43.136000000000003</v>
      </c>
      <c r="I78" s="3">
        <v>130</v>
      </c>
      <c r="J78" s="3">
        <v>12.18</v>
      </c>
      <c r="K78" s="3">
        <v>98.5</v>
      </c>
      <c r="L78" s="3">
        <v>28523.349609000001</v>
      </c>
      <c r="N78" s="3">
        <f t="shared" si="54"/>
        <v>6.0259116014460545E-4</v>
      </c>
      <c r="O78" s="3">
        <f t="shared" si="55"/>
        <v>3.866340082853803E-3</v>
      </c>
      <c r="P78" s="3">
        <f t="shared" si="56"/>
        <v>7.6379863129596437E-3</v>
      </c>
      <c r="Q78" s="3">
        <f t="shared" si="57"/>
        <v>3.1347988053713749E-3</v>
      </c>
      <c r="R78" s="3">
        <f t="shared" si="58"/>
        <v>2.786810907179138E-3</v>
      </c>
      <c r="S78" s="3">
        <f t="shared" si="59"/>
        <v>9.4488891979320755E-3</v>
      </c>
      <c r="T78" s="3">
        <f t="shared" si="60"/>
        <v>9.4369708548609488E-3</v>
      </c>
      <c r="U78" s="3">
        <f t="shared" si="61"/>
        <v>-7.6952677902841771E-4</v>
      </c>
      <c r="V78" s="3">
        <f t="shared" si="62"/>
        <v>3.2786914616984575E-3</v>
      </c>
      <c r="W78" s="3">
        <f t="shared" si="63"/>
        <v>1.0147134305462657E-3</v>
      </c>
      <c r="X78" s="3">
        <f t="shared" si="64"/>
        <v>1.5260240760071042E-3</v>
      </c>
      <c r="AZ78" s="3" t="s">
        <v>83</v>
      </c>
      <c r="BA78" s="3">
        <v>73</v>
      </c>
      <c r="BB78" s="3">
        <f t="shared" si="65"/>
        <v>1.0933078256132809</v>
      </c>
      <c r="BC78" s="3">
        <f t="shared" si="66"/>
        <v>1.0796609663392307</v>
      </c>
      <c r="BD78" s="3">
        <f t="shared" si="67"/>
        <v>1.0716142078696957</v>
      </c>
      <c r="BE78" s="3">
        <f t="shared" si="68"/>
        <v>1.0282980140756472</v>
      </c>
      <c r="BF78" s="3">
        <f t="shared" si="69"/>
        <v>1.0967606570779143</v>
      </c>
      <c r="BH78" s="3">
        <f t="shared" si="70"/>
        <v>2.9589762246415713E-3</v>
      </c>
      <c r="BI78" s="3">
        <f t="shared" si="71"/>
        <v>3.432356404675152E-3</v>
      </c>
      <c r="BJ78" s="3">
        <f t="shared" si="72"/>
        <v>4.3336956770711199E-3</v>
      </c>
      <c r="BK78" s="3">
        <f t="shared" si="73"/>
        <v>7.2889166164341671E-3</v>
      </c>
    </row>
    <row r="79" spans="1:63" x14ac:dyDescent="0.2">
      <c r="A79" s="3" t="s">
        <v>86</v>
      </c>
      <c r="B79" s="3">
        <v>83</v>
      </c>
      <c r="C79" s="3">
        <v>90.7</v>
      </c>
      <c r="D79" s="3">
        <v>16.690999999999999</v>
      </c>
      <c r="E79" s="3">
        <v>63.9</v>
      </c>
      <c r="F79" s="3">
        <v>53.9</v>
      </c>
      <c r="G79" s="3">
        <v>191.4</v>
      </c>
      <c r="H79" s="3">
        <v>43.545000000000002</v>
      </c>
      <c r="I79" s="3">
        <v>129.9</v>
      </c>
      <c r="J79" s="3">
        <v>12.22</v>
      </c>
      <c r="K79" s="3">
        <v>98.6</v>
      </c>
      <c r="L79" s="3">
        <v>28566.910156000002</v>
      </c>
      <c r="N79" s="3">
        <f t="shared" si="54"/>
        <v>-1.0902591338215473E-2</v>
      </c>
      <c r="O79" s="3">
        <f t="shared" si="55"/>
        <v>-6.0824074717649168E-3</v>
      </c>
      <c r="P79" s="3">
        <f t="shared" si="56"/>
        <v>3.2300542498875373E-3</v>
      </c>
      <c r="Q79" s="3">
        <f t="shared" si="57"/>
        <v>-7.8277890494060642E-4</v>
      </c>
      <c r="R79" s="3">
        <f t="shared" si="58"/>
        <v>-2.786810907179138E-3</v>
      </c>
      <c r="S79" s="3">
        <f t="shared" si="59"/>
        <v>-3.6639664124802351E-3</v>
      </c>
      <c r="T79" s="3">
        <f t="shared" si="60"/>
        <v>1.4522580175289956E-2</v>
      </c>
      <c r="U79" s="3">
        <f t="shared" si="61"/>
        <v>6.9045153465445708E-3</v>
      </c>
      <c r="V79" s="3">
        <f t="shared" si="62"/>
        <v>2.1053409197832273E-2</v>
      </c>
      <c r="W79" s="3">
        <f t="shared" si="63"/>
        <v>-7.6355677665045363E-3</v>
      </c>
      <c r="X79" s="3">
        <f t="shared" si="64"/>
        <v>5.6318987506944751E-3</v>
      </c>
      <c r="AZ79" s="3" t="s">
        <v>84</v>
      </c>
      <c r="BA79" s="3">
        <v>74</v>
      </c>
      <c r="BB79" s="3">
        <f t="shared" si="65"/>
        <v>1.0965476884501424</v>
      </c>
      <c r="BC79" s="3">
        <f t="shared" si="66"/>
        <v>1.0833731146354901</v>
      </c>
      <c r="BD79" s="3">
        <f t="shared" si="67"/>
        <v>1.0762683352315798</v>
      </c>
      <c r="BE79" s="3">
        <f t="shared" si="68"/>
        <v>1.03582057491138</v>
      </c>
      <c r="BF79" s="3">
        <f t="shared" si="69"/>
        <v>1.0983375696756486</v>
      </c>
      <c r="BH79" s="3">
        <f t="shared" si="70"/>
        <v>-8.2641027566770081E-3</v>
      </c>
      <c r="BI79" s="3">
        <f t="shared" si="71"/>
        <v>-8.252104498093854E-3</v>
      </c>
      <c r="BJ79" s="3">
        <f t="shared" si="72"/>
        <v>-4.7181376539879583E-3</v>
      </c>
      <c r="BK79" s="3">
        <f t="shared" si="73"/>
        <v>2.4405085814271227E-4</v>
      </c>
    </row>
    <row r="80" spans="1:63" x14ac:dyDescent="0.2">
      <c r="A80" s="3" t="s">
        <v>87</v>
      </c>
      <c r="B80" s="3">
        <v>82.1</v>
      </c>
      <c r="C80" s="3">
        <v>90.15</v>
      </c>
      <c r="D80" s="3">
        <v>16.745000000000001</v>
      </c>
      <c r="E80" s="3">
        <v>63.85</v>
      </c>
      <c r="F80" s="3">
        <v>53.75</v>
      </c>
      <c r="G80" s="3">
        <v>190.7</v>
      </c>
      <c r="H80" s="3">
        <v>44.182000000000002</v>
      </c>
      <c r="I80" s="3">
        <v>130.80000000000001</v>
      </c>
      <c r="J80" s="3">
        <v>12.48</v>
      </c>
      <c r="K80" s="3">
        <v>97.85</v>
      </c>
      <c r="L80" s="3">
        <v>28728.25</v>
      </c>
      <c r="N80" s="3">
        <f t="shared" si="54"/>
        <v>4.8602768822521014E-3</v>
      </c>
      <c r="O80" s="3">
        <f t="shared" si="55"/>
        <v>2.2160673889111138E-3</v>
      </c>
      <c r="P80" s="3">
        <f t="shared" si="56"/>
        <v>4.3500351645384683E-3</v>
      </c>
      <c r="Q80" s="3">
        <f t="shared" si="57"/>
        <v>-2.3520199004307685E-3</v>
      </c>
      <c r="R80" s="3">
        <f t="shared" si="58"/>
        <v>3.7140246963716095E-3</v>
      </c>
      <c r="S80" s="3">
        <f t="shared" si="59"/>
        <v>5.2301374452250471E-3</v>
      </c>
      <c r="T80" s="3">
        <f t="shared" si="60"/>
        <v>5.1246852794717412E-3</v>
      </c>
      <c r="U80" s="3">
        <f t="shared" si="61"/>
        <v>2.1180822079447381E-2</v>
      </c>
      <c r="V80" s="3">
        <f t="shared" si="62"/>
        <v>2.2187914975362322E-2</v>
      </c>
      <c r="W80" s="3">
        <f t="shared" si="63"/>
        <v>1.6219311457896346E-2</v>
      </c>
      <c r="X80" s="3">
        <f t="shared" si="64"/>
        <v>1.633325983306122E-3</v>
      </c>
      <c r="AZ80" s="3" t="s">
        <v>85</v>
      </c>
      <c r="BA80" s="3">
        <v>75</v>
      </c>
      <c r="BB80" s="3">
        <f t="shared" si="65"/>
        <v>1.0875230473177508</v>
      </c>
      <c r="BC80" s="3">
        <f t="shared" si="66"/>
        <v>1.0744697925793256</v>
      </c>
      <c r="BD80" s="3">
        <f t="shared" si="67"/>
        <v>1.0712023135649336</v>
      </c>
      <c r="BE80" s="3">
        <f t="shared" si="68"/>
        <v>1.0360733986612407</v>
      </c>
      <c r="BF80" s="3">
        <f t="shared" si="69"/>
        <v>1.076078719910966</v>
      </c>
      <c r="BH80" s="3">
        <f t="shared" si="70"/>
        <v>4.0892099793076453E-3</v>
      </c>
      <c r="BI80" s="3">
        <f t="shared" si="71"/>
        <v>4.1334258203771929E-3</v>
      </c>
      <c r="BJ80" s="3">
        <f t="shared" si="72"/>
        <v>4.3750259468678387E-3</v>
      </c>
      <c r="BK80" s="3">
        <f t="shared" si="73"/>
        <v>4.2399601158108896E-3</v>
      </c>
    </row>
    <row r="81" spans="1:63" x14ac:dyDescent="0.2">
      <c r="A81" s="3" t="s">
        <v>88</v>
      </c>
      <c r="B81" s="3">
        <v>82.5</v>
      </c>
      <c r="C81" s="3">
        <v>90.35</v>
      </c>
      <c r="D81" s="3">
        <v>16.818000000000001</v>
      </c>
      <c r="E81" s="3">
        <v>63.7</v>
      </c>
      <c r="F81" s="3">
        <v>53.95</v>
      </c>
      <c r="G81" s="3">
        <v>191.7</v>
      </c>
      <c r="H81" s="3">
        <v>44.408999999999999</v>
      </c>
      <c r="I81" s="3">
        <v>133.6</v>
      </c>
      <c r="J81" s="3">
        <v>12.76</v>
      </c>
      <c r="K81" s="3">
        <v>99.45</v>
      </c>
      <c r="L81" s="3">
        <v>28775.210938</v>
      </c>
      <c r="N81" s="3">
        <f t="shared" si="54"/>
        <v>-6.062443350272062E-4</v>
      </c>
      <c r="O81" s="3">
        <f t="shared" si="55"/>
        <v>7.1684894786123721E-3</v>
      </c>
      <c r="P81" s="3">
        <f t="shared" si="56"/>
        <v>1.7154899431805148E-2</v>
      </c>
      <c r="Q81" s="3">
        <f t="shared" si="57"/>
        <v>3.1347988053713749E-3</v>
      </c>
      <c r="R81" s="3">
        <f t="shared" si="58"/>
        <v>9.2251576748259012E-3</v>
      </c>
      <c r="S81" s="3">
        <f t="shared" si="59"/>
        <v>1.0378920361351796E-2</v>
      </c>
      <c r="T81" s="3">
        <f t="shared" si="60"/>
        <v>2.1276687353619206E-2</v>
      </c>
      <c r="U81" s="3">
        <f t="shared" si="61"/>
        <v>8.1998223137729198E-3</v>
      </c>
      <c r="V81" s="3">
        <f t="shared" si="62"/>
        <v>2.017135886377952E-2</v>
      </c>
      <c r="W81" s="3">
        <f t="shared" si="63"/>
        <v>1.5465511541278509E-2</v>
      </c>
      <c r="X81" s="3">
        <f t="shared" si="64"/>
        <v>9.5509913426816695E-3</v>
      </c>
      <c r="AZ81" s="3" t="s">
        <v>86</v>
      </c>
      <c r="BA81" s="3">
        <v>76</v>
      </c>
      <c r="BB81" s="3">
        <f t="shared" si="65"/>
        <v>1.0919792624055735</v>
      </c>
      <c r="BC81" s="3">
        <f t="shared" si="66"/>
        <v>1.0789202251933485</v>
      </c>
      <c r="BD81" s="3">
        <f t="shared" si="67"/>
        <v>1.0758991183107054</v>
      </c>
      <c r="BE81" s="3">
        <f t="shared" si="68"/>
        <v>1.0404756346060198</v>
      </c>
      <c r="BF81" s="3">
        <f t="shared" si="69"/>
        <v>1.0777220955417017</v>
      </c>
      <c r="BH81" s="3">
        <f t="shared" si="70"/>
        <v>1.8735726053084739E-3</v>
      </c>
      <c r="BI81" s="3">
        <f t="shared" si="71"/>
        <v>5.5867332246124779E-4</v>
      </c>
      <c r="BJ81" s="3">
        <f t="shared" si="72"/>
        <v>-1.0305137158792554E-3</v>
      </c>
      <c r="BK81" s="3">
        <f t="shared" si="73"/>
        <v>-6.6738925822820497E-3</v>
      </c>
    </row>
    <row r="82" spans="1:63" x14ac:dyDescent="0.2">
      <c r="A82" s="3" t="s">
        <v>89</v>
      </c>
      <c r="B82" s="3">
        <v>82.45</v>
      </c>
      <c r="C82" s="3">
        <v>91</v>
      </c>
      <c r="D82" s="3">
        <v>17.109000000000002</v>
      </c>
      <c r="E82" s="3">
        <v>63.9</v>
      </c>
      <c r="F82" s="3">
        <v>54.45</v>
      </c>
      <c r="G82" s="3">
        <v>193.7</v>
      </c>
      <c r="H82" s="3">
        <v>45.363999999999997</v>
      </c>
      <c r="I82" s="3">
        <v>134.69999999999999</v>
      </c>
      <c r="J82" s="3">
        <v>13.02</v>
      </c>
      <c r="K82" s="3">
        <v>101</v>
      </c>
      <c r="L82" s="3">
        <v>29051.359375</v>
      </c>
      <c r="N82" s="3">
        <f t="shared" si="54"/>
        <v>1.9814517973294699E-2</v>
      </c>
      <c r="O82" s="3">
        <f t="shared" si="55"/>
        <v>7.1174677688645716E-3</v>
      </c>
      <c r="P82" s="3">
        <f t="shared" si="56"/>
        <v>1.5830547172757115E-2</v>
      </c>
      <c r="Q82" s="3">
        <f t="shared" si="57"/>
        <v>1.3214339196158775E-2</v>
      </c>
      <c r="R82" s="3">
        <f t="shared" si="58"/>
        <v>2.751033371889644E-3</v>
      </c>
      <c r="S82" s="3">
        <f t="shared" si="59"/>
        <v>1.0272303989079745E-2</v>
      </c>
      <c r="T82" s="3">
        <f t="shared" si="60"/>
        <v>2.9934870038208494E-3</v>
      </c>
      <c r="U82" s="3">
        <f t="shared" si="61"/>
        <v>4.854267004615398E-2</v>
      </c>
      <c r="V82" s="3">
        <f t="shared" si="62"/>
        <v>5.0909196053655847E-2</v>
      </c>
      <c r="W82" s="3">
        <f t="shared" si="63"/>
        <v>1.1811160928344222E-2</v>
      </c>
      <c r="X82" s="3">
        <f t="shared" si="64"/>
        <v>1.7425136945673714E-2</v>
      </c>
      <c r="AZ82" s="3" t="s">
        <v>87</v>
      </c>
      <c r="BA82" s="3">
        <v>77</v>
      </c>
      <c r="BB82" s="3">
        <f t="shared" si="65"/>
        <v>1.0940270826080634</v>
      </c>
      <c r="BC82" s="3">
        <f t="shared" si="66"/>
        <v>1.0795231575456561</v>
      </c>
      <c r="BD82" s="3">
        <f t="shared" si="67"/>
        <v>1.074790960596314</v>
      </c>
      <c r="BE82" s="3">
        <f t="shared" si="68"/>
        <v>1.0335547323538281</v>
      </c>
      <c r="BF82" s="3">
        <f t="shared" si="69"/>
        <v>1.0838088411442368</v>
      </c>
      <c r="BH82" s="3">
        <f t="shared" si="70"/>
        <v>8.7187877725194707E-3</v>
      </c>
      <c r="BI82" s="3">
        <f t="shared" si="71"/>
        <v>7.1972322438722397E-3</v>
      </c>
      <c r="BJ82" s="3">
        <f t="shared" si="72"/>
        <v>4.7994970459515063E-3</v>
      </c>
      <c r="BK82" s="3">
        <f t="shared" si="73"/>
        <v>-1.3559302891557184E-3</v>
      </c>
    </row>
    <row r="83" spans="1:63" x14ac:dyDescent="0.2">
      <c r="A83" s="3" t="s">
        <v>90</v>
      </c>
      <c r="B83" s="3">
        <v>84.1</v>
      </c>
      <c r="C83" s="3">
        <v>91.65</v>
      </c>
      <c r="D83" s="3">
        <v>17.382000000000001</v>
      </c>
      <c r="E83" s="3">
        <v>64.75</v>
      </c>
      <c r="F83" s="3">
        <v>54.6</v>
      </c>
      <c r="G83" s="3">
        <v>195.7</v>
      </c>
      <c r="H83" s="3">
        <v>45.5</v>
      </c>
      <c r="I83" s="3">
        <v>141.4</v>
      </c>
      <c r="J83" s="3">
        <v>13.7</v>
      </c>
      <c r="K83" s="3">
        <v>102.2</v>
      </c>
      <c r="L83" s="3">
        <v>29562.019531000002</v>
      </c>
      <c r="N83" s="3">
        <f t="shared" si="54"/>
        <v>1.0644689511414285E-2</v>
      </c>
      <c r="O83" s="3">
        <f t="shared" si="55"/>
        <v>-7.1174677688645716E-3</v>
      </c>
      <c r="P83" s="3">
        <f t="shared" si="56"/>
        <v>1.0350182052145662E-3</v>
      </c>
      <c r="Q83" s="3">
        <f t="shared" si="57"/>
        <v>1.0752791776261539E-2</v>
      </c>
      <c r="R83" s="3">
        <f t="shared" si="58"/>
        <v>-5.509655810969516E-3</v>
      </c>
      <c r="S83" s="3">
        <f t="shared" si="59"/>
        <v>4.5883333110356972E-3</v>
      </c>
      <c r="T83" s="3">
        <f t="shared" si="60"/>
        <v>-2.9934870038208494E-3</v>
      </c>
      <c r="U83" s="3">
        <f t="shared" si="61"/>
        <v>-7.0746377199082389E-4</v>
      </c>
      <c r="V83" s="3">
        <f t="shared" si="62"/>
        <v>1.016711735544451E-2</v>
      </c>
      <c r="W83" s="3">
        <f t="shared" si="63"/>
        <v>-9.8329209162386633E-3</v>
      </c>
      <c r="X83" s="3">
        <f t="shared" si="64"/>
        <v>2.1170440508946342E-3</v>
      </c>
      <c r="AZ83" s="3" t="s">
        <v>88</v>
      </c>
      <c r="BA83" s="3">
        <v>78</v>
      </c>
      <c r="BB83" s="3">
        <f t="shared" si="65"/>
        <v>1.1036073761428806</v>
      </c>
      <c r="BC83" s="3">
        <f t="shared" si="66"/>
        <v>1.0873207633533879</v>
      </c>
      <c r="BD83" s="3">
        <f t="shared" si="67"/>
        <v>1.0799618154620809</v>
      </c>
      <c r="BE83" s="3">
        <f t="shared" si="68"/>
        <v>1.0321542538768929</v>
      </c>
      <c r="BF83" s="3">
        <f t="shared" si="69"/>
        <v>1.0855805007403774</v>
      </c>
      <c r="BH83" s="3">
        <f t="shared" si="70"/>
        <v>1.1651606538432308E-2</v>
      </c>
      <c r="BI83" s="3">
        <f t="shared" si="71"/>
        <v>1.0886292679900336E-2</v>
      </c>
      <c r="BJ83" s="3">
        <f t="shared" si="72"/>
        <v>1.094664066024581E-2</v>
      </c>
      <c r="BK83" s="3">
        <f t="shared" si="73"/>
        <v>8.9438947876023245E-3</v>
      </c>
    </row>
    <row r="84" spans="1:63" x14ac:dyDescent="0.2">
      <c r="A84" s="3" t="s">
        <v>91</v>
      </c>
      <c r="B84" s="3">
        <v>85</v>
      </c>
      <c r="C84" s="3">
        <v>91</v>
      </c>
      <c r="D84" s="3">
        <v>17.399999999999999</v>
      </c>
      <c r="E84" s="3">
        <v>65.45</v>
      </c>
      <c r="F84" s="3">
        <v>54.3</v>
      </c>
      <c r="G84" s="3">
        <v>196.6</v>
      </c>
      <c r="H84" s="3">
        <v>45.363999999999997</v>
      </c>
      <c r="I84" s="3">
        <v>141.30000000000001</v>
      </c>
      <c r="J84" s="3">
        <v>13.84</v>
      </c>
      <c r="K84" s="3">
        <v>101.2</v>
      </c>
      <c r="L84" s="3">
        <v>29624.669922000001</v>
      </c>
      <c r="N84" s="3">
        <f t="shared" si="54"/>
        <v>1.1114475338541929E-2</v>
      </c>
      <c r="O84" s="3">
        <f t="shared" si="55"/>
        <v>3.8387763071661141E-3</v>
      </c>
      <c r="P84" s="3">
        <f t="shared" si="56"/>
        <v>6.2448282236964303E-3</v>
      </c>
      <c r="Q84" s="3">
        <f t="shared" si="57"/>
        <v>1.4410564126479564E-2</v>
      </c>
      <c r="R84" s="3">
        <f t="shared" si="58"/>
        <v>3.6764747293087652E-3</v>
      </c>
      <c r="S84" s="3">
        <f t="shared" si="59"/>
        <v>5.085176819470405E-4</v>
      </c>
      <c r="T84" s="3">
        <f t="shared" si="60"/>
        <v>9.9148433314777407E-4</v>
      </c>
      <c r="U84" s="3">
        <f t="shared" si="61"/>
        <v>2.1208915691373065E-3</v>
      </c>
      <c r="V84" s="3">
        <f t="shared" si="62"/>
        <v>2.8860048891345969E-3</v>
      </c>
      <c r="W84" s="3">
        <f t="shared" si="63"/>
        <v>1.0810916104215806E-2</v>
      </c>
      <c r="X84" s="3">
        <f t="shared" si="64"/>
        <v>1.2136175380614844E-2</v>
      </c>
      <c r="AZ84" s="3" t="s">
        <v>89</v>
      </c>
      <c r="BA84" s="3">
        <v>79</v>
      </c>
      <c r="BB84" s="3">
        <f t="shared" si="65"/>
        <v>1.1165413796965036</v>
      </c>
      <c r="BC84" s="3">
        <f t="shared" si="66"/>
        <v>1.0992223197946558</v>
      </c>
      <c r="BD84" s="3">
        <f t="shared" si="67"/>
        <v>1.0918487114730528</v>
      </c>
      <c r="BE84" s="3">
        <f t="shared" si="68"/>
        <v>1.0414271389685239</v>
      </c>
      <c r="BF84" s="3">
        <f t="shared" si="69"/>
        <v>1.0959985428239976</v>
      </c>
      <c r="BH84" s="3">
        <f t="shared" si="70"/>
        <v>1.9131807692257377E-2</v>
      </c>
      <c r="BI84" s="3">
        <f t="shared" si="71"/>
        <v>1.6508275429563818E-2</v>
      </c>
      <c r="BJ84" s="3">
        <f t="shared" si="72"/>
        <v>1.0874129834242338E-2</v>
      </c>
      <c r="BK84" s="3">
        <f t="shared" si="73"/>
        <v>-2.6849019339812152E-3</v>
      </c>
    </row>
    <row r="85" spans="1:63" x14ac:dyDescent="0.2">
      <c r="A85" s="3" t="s">
        <v>92</v>
      </c>
      <c r="B85" s="3">
        <v>85.95</v>
      </c>
      <c r="C85" s="3">
        <v>91.35</v>
      </c>
      <c r="D85" s="3">
        <v>17.509</v>
      </c>
      <c r="E85" s="3">
        <v>66.400000000000006</v>
      </c>
      <c r="F85" s="3">
        <v>54.5</v>
      </c>
      <c r="G85" s="3">
        <v>196.7</v>
      </c>
      <c r="H85" s="3">
        <v>45.408999999999999</v>
      </c>
      <c r="I85" s="3">
        <v>141.6</v>
      </c>
      <c r="J85" s="3">
        <v>13.88</v>
      </c>
      <c r="K85" s="3">
        <v>102.3</v>
      </c>
      <c r="L85" s="3">
        <v>29986.390625</v>
      </c>
      <c r="N85" s="3">
        <f t="shared" si="54"/>
        <v>-4.0804486811625296E-3</v>
      </c>
      <c r="O85" s="3">
        <f t="shared" si="55"/>
        <v>-1.6433857437299082E-3</v>
      </c>
      <c r="P85" s="3">
        <f t="shared" si="56"/>
        <v>-8.315937006832641E-3</v>
      </c>
      <c r="Q85" s="3">
        <f t="shared" si="57"/>
        <v>1.504891179419765E-3</v>
      </c>
      <c r="R85" s="3">
        <f t="shared" si="58"/>
        <v>-1.8365478073016916E-3</v>
      </c>
      <c r="S85" s="3">
        <f t="shared" si="59"/>
        <v>8.6054694557597955E-3</v>
      </c>
      <c r="T85" s="3">
        <f t="shared" si="60"/>
        <v>2.0020026706730754E-3</v>
      </c>
      <c r="U85" s="3">
        <f t="shared" si="61"/>
        <v>-7.0646417632680425E-4</v>
      </c>
      <c r="V85" s="3">
        <f t="shared" si="62"/>
        <v>-8.6831225734607109E-3</v>
      </c>
      <c r="W85" s="3">
        <f t="shared" si="63"/>
        <v>0</v>
      </c>
      <c r="X85" s="3">
        <f t="shared" si="64"/>
        <v>-1.6711634994219793E-3</v>
      </c>
      <c r="AZ85" s="3" t="s">
        <v>90</v>
      </c>
      <c r="BA85" s="3">
        <v>80</v>
      </c>
      <c r="BB85" s="3">
        <f t="shared" si="65"/>
        <v>1.1381084856757759</v>
      </c>
      <c r="BC85" s="3">
        <f t="shared" si="66"/>
        <v>1.1175191940026725</v>
      </c>
      <c r="BD85" s="3">
        <f t="shared" si="67"/>
        <v>1.1037864045004098</v>
      </c>
      <c r="BE85" s="3">
        <f t="shared" si="68"/>
        <v>1.0386347595389238</v>
      </c>
      <c r="BF85" s="3">
        <f t="shared" si="69"/>
        <v>1.1152638301941959</v>
      </c>
      <c r="BH85" s="3">
        <f t="shared" si="70"/>
        <v>1.0219097360964768E-3</v>
      </c>
      <c r="BI85" s="3">
        <f t="shared" si="71"/>
        <v>7.651137000733027E-4</v>
      </c>
      <c r="BJ85" s="3">
        <f t="shared" si="72"/>
        <v>-2.9489238480883834E-3</v>
      </c>
      <c r="BK85" s="3">
        <f t="shared" si="73"/>
        <v>-8.9615193483367425E-3</v>
      </c>
    </row>
    <row r="86" spans="1:63" x14ac:dyDescent="0.2">
      <c r="A86" s="3" t="s">
        <v>93</v>
      </c>
      <c r="B86" s="3">
        <v>85.6</v>
      </c>
      <c r="C86" s="3">
        <v>91.2</v>
      </c>
      <c r="D86" s="3">
        <v>17.364000000000001</v>
      </c>
      <c r="E86" s="3">
        <v>66.5</v>
      </c>
      <c r="F86" s="3">
        <v>54.4</v>
      </c>
      <c r="G86" s="3">
        <v>198.4</v>
      </c>
      <c r="H86" s="3">
        <v>45.5</v>
      </c>
      <c r="I86" s="3">
        <v>141.5</v>
      </c>
      <c r="J86" s="3">
        <v>13.76</v>
      </c>
      <c r="K86" s="3">
        <v>102.3</v>
      </c>
      <c r="L86" s="3">
        <v>29936.320313</v>
      </c>
      <c r="N86" s="3">
        <f t="shared" si="54"/>
        <v>4.662013105811269E-3</v>
      </c>
      <c r="O86" s="3">
        <f t="shared" si="55"/>
        <v>-7.152712750863266E-3</v>
      </c>
      <c r="P86" s="3">
        <f t="shared" si="56"/>
        <v>-6.2971408873804258E-3</v>
      </c>
      <c r="Q86" s="3">
        <f t="shared" si="57"/>
        <v>3.0030052597700418E-3</v>
      </c>
      <c r="R86" s="3">
        <f t="shared" si="58"/>
        <v>0</v>
      </c>
      <c r="S86" s="3">
        <f t="shared" si="59"/>
        <v>-1.3702320448742533E-2</v>
      </c>
      <c r="T86" s="3">
        <f t="shared" si="60"/>
        <v>4.9766071119661248E-3</v>
      </c>
      <c r="U86" s="3">
        <f t="shared" si="61"/>
        <v>-1.4144273928105022E-3</v>
      </c>
      <c r="V86" s="3">
        <f t="shared" si="62"/>
        <v>-4.3699996711183964E-3</v>
      </c>
      <c r="W86" s="3">
        <f t="shared" si="63"/>
        <v>-2.0741484306816993E-2</v>
      </c>
      <c r="X86" s="3">
        <f t="shared" si="64"/>
        <v>4.6932908513017679E-3</v>
      </c>
      <c r="AZ86" s="3" t="s">
        <v>91</v>
      </c>
      <c r="BA86" s="3">
        <v>81</v>
      </c>
      <c r="BB86" s="3">
        <f t="shared" si="65"/>
        <v>1.1392721242835677</v>
      </c>
      <c r="BC86" s="3">
        <f t="shared" si="66"/>
        <v>1.1183745504288318</v>
      </c>
      <c r="BD86" s="3">
        <f t="shared" si="67"/>
        <v>1.1005362170819206</v>
      </c>
      <c r="BE86" s="3">
        <f t="shared" si="68"/>
        <v>1.0293685955123806</v>
      </c>
      <c r="BF86" s="3">
        <f t="shared" si="69"/>
        <v>1.1176273938525092</v>
      </c>
      <c r="BH86" s="3">
        <f t="shared" si="70"/>
        <v>5.4481557562424121E-3</v>
      </c>
      <c r="BI86" s="3">
        <f t="shared" si="71"/>
        <v>5.8036333415116548E-3</v>
      </c>
      <c r="BJ86" s="3">
        <f t="shared" si="72"/>
        <v>3.7696662644785273E-3</v>
      </c>
      <c r="BK86" s="3">
        <f t="shared" si="73"/>
        <v>1.9843717512224197E-3</v>
      </c>
    </row>
    <row r="87" spans="1:63" x14ac:dyDescent="0.2">
      <c r="A87" s="3" t="s">
        <v>94</v>
      </c>
      <c r="B87" s="3">
        <v>86</v>
      </c>
      <c r="C87" s="3">
        <v>90.55</v>
      </c>
      <c r="D87" s="3">
        <v>17.254999999999999</v>
      </c>
      <c r="E87" s="3">
        <v>66.7</v>
      </c>
      <c r="F87" s="3">
        <v>54.4</v>
      </c>
      <c r="G87" s="3">
        <v>195.7</v>
      </c>
      <c r="H87" s="3">
        <v>45.726999999999997</v>
      </c>
      <c r="I87" s="3">
        <v>141.30000000000001</v>
      </c>
      <c r="J87" s="3">
        <v>13.7</v>
      </c>
      <c r="K87" s="3">
        <v>100.2</v>
      </c>
      <c r="L87" s="3">
        <v>30077.150390999999</v>
      </c>
      <c r="N87" s="3">
        <f t="shared" si="54"/>
        <v>2.3228814161404543E-3</v>
      </c>
      <c r="O87" s="3">
        <f t="shared" si="55"/>
        <v>5.5202871951109955E-4</v>
      </c>
      <c r="P87" s="3">
        <f t="shared" si="56"/>
        <v>0</v>
      </c>
      <c r="Q87" s="3">
        <f t="shared" si="57"/>
        <v>4.4876664693873636E-3</v>
      </c>
      <c r="R87" s="3">
        <f t="shared" si="58"/>
        <v>-1.8399269220070735E-3</v>
      </c>
      <c r="S87" s="3">
        <f t="shared" si="59"/>
        <v>1.0673544786581779E-2</v>
      </c>
      <c r="T87" s="3">
        <f t="shared" si="60"/>
        <v>-1.9920543347478059E-3</v>
      </c>
      <c r="U87" s="3">
        <f t="shared" si="61"/>
        <v>-4.255325570138524E-3</v>
      </c>
      <c r="V87" s="3">
        <f t="shared" si="62"/>
        <v>-7.3260400920727164E-3</v>
      </c>
      <c r="W87" s="3">
        <f t="shared" si="63"/>
        <v>6.9617387087994587E-3</v>
      </c>
      <c r="X87" s="3">
        <f t="shared" si="64"/>
        <v>2.6675643718387931E-3</v>
      </c>
      <c r="AZ87" s="3" t="s">
        <v>92</v>
      </c>
      <c r="BA87" s="3">
        <v>82</v>
      </c>
      <c r="BB87" s="3">
        <f t="shared" si="65"/>
        <v>1.1454959951794885</v>
      </c>
      <c r="BC87" s="3">
        <f t="shared" si="66"/>
        <v>1.124884057382618</v>
      </c>
      <c r="BD87" s="3">
        <f t="shared" si="67"/>
        <v>1.1046927006882048</v>
      </c>
      <c r="BE87" s="3">
        <f t="shared" si="68"/>
        <v>1.0314132735045856</v>
      </c>
      <c r="BF87" s="3">
        <f t="shared" si="69"/>
        <v>1.1312737557414621</v>
      </c>
      <c r="BH87" s="3">
        <f t="shared" si="70"/>
        <v>-1.4780495019031947E-3</v>
      </c>
      <c r="BI87" s="3">
        <f t="shared" si="71"/>
        <v>-1.4640813134302461E-3</v>
      </c>
      <c r="BJ87" s="3">
        <f t="shared" si="72"/>
        <v>-3.9983463279525261E-3</v>
      </c>
      <c r="BK87" s="3">
        <f t="shared" si="73"/>
        <v>-7.990543905435351E-3</v>
      </c>
    </row>
    <row r="88" spans="1:63" x14ac:dyDescent="0.2">
      <c r="A88" s="3" t="s">
        <v>95</v>
      </c>
      <c r="B88" s="3">
        <v>86.2</v>
      </c>
      <c r="C88" s="3">
        <v>90.6</v>
      </c>
      <c r="D88" s="3">
        <v>17.254999999999999</v>
      </c>
      <c r="E88" s="3">
        <v>67</v>
      </c>
      <c r="F88" s="3">
        <v>54.3</v>
      </c>
      <c r="G88" s="3">
        <v>197.8</v>
      </c>
      <c r="H88" s="3">
        <v>45.636000000000003</v>
      </c>
      <c r="I88" s="3">
        <v>140.69999999999999</v>
      </c>
      <c r="J88" s="3">
        <v>13.6</v>
      </c>
      <c r="K88" s="3">
        <v>100.9</v>
      </c>
      <c r="L88" s="3">
        <v>30157.490234000001</v>
      </c>
      <c r="N88" s="3">
        <f t="shared" si="54"/>
        <v>-9.909728429198239E-3</v>
      </c>
      <c r="O88" s="3">
        <f t="shared" si="55"/>
        <v>-5.5340484346420027E-3</v>
      </c>
      <c r="P88" s="3">
        <f t="shared" si="56"/>
        <v>-5.2877894206884157E-3</v>
      </c>
      <c r="Q88" s="3">
        <f t="shared" si="57"/>
        <v>-7.4654725378398012E-4</v>
      </c>
      <c r="R88" s="3">
        <f t="shared" si="58"/>
        <v>-1.8433184942892034E-3</v>
      </c>
      <c r="S88" s="3">
        <f t="shared" si="59"/>
        <v>1.0106115059231868E-3</v>
      </c>
      <c r="T88" s="3">
        <f t="shared" si="60"/>
        <v>1.2867164233703043E-2</v>
      </c>
      <c r="U88" s="3">
        <f t="shared" si="61"/>
        <v>-7.848773792071384E-3</v>
      </c>
      <c r="V88" s="3">
        <f t="shared" si="62"/>
        <v>-5.8997221271885891E-3</v>
      </c>
      <c r="W88" s="3">
        <f t="shared" si="63"/>
        <v>-2.305866575097415E-2</v>
      </c>
      <c r="X88" s="3">
        <f t="shared" si="64"/>
        <v>-1.2585118719243837E-3</v>
      </c>
      <c r="AZ88" s="3" t="s">
        <v>93</v>
      </c>
      <c r="BA88" s="3">
        <v>83</v>
      </c>
      <c r="BB88" s="3">
        <f t="shared" si="65"/>
        <v>1.1438041460207899</v>
      </c>
      <c r="BC88" s="3">
        <f t="shared" si="66"/>
        <v>1.1232383406799351</v>
      </c>
      <c r="BD88" s="3">
        <f t="shared" si="67"/>
        <v>1.1002845751637844</v>
      </c>
      <c r="BE88" s="3">
        <f t="shared" si="68"/>
        <v>1.0232045601764488</v>
      </c>
      <c r="BF88" s="3">
        <f t="shared" si="69"/>
        <v>1.1293847911569694</v>
      </c>
      <c r="BH88" s="3">
        <f t="shared" si="70"/>
        <v>-4.1850222945896687E-3</v>
      </c>
      <c r="BI88" s="3">
        <f t="shared" si="71"/>
        <v>-3.8681999555734009E-3</v>
      </c>
      <c r="BJ88" s="3">
        <f t="shared" si="72"/>
        <v>-2.7333675046074257E-3</v>
      </c>
      <c r="BK88" s="3">
        <f t="shared" si="73"/>
        <v>-1.9433615518352904E-4</v>
      </c>
    </row>
    <row r="89" spans="1:63" x14ac:dyDescent="0.2">
      <c r="A89" s="3" t="s">
        <v>96</v>
      </c>
      <c r="B89" s="3">
        <v>85.35</v>
      </c>
      <c r="C89" s="3">
        <v>90.1</v>
      </c>
      <c r="D89" s="3">
        <v>17.164000000000001</v>
      </c>
      <c r="E89" s="3">
        <v>66.95</v>
      </c>
      <c r="F89" s="3">
        <v>54.2</v>
      </c>
      <c r="G89" s="3">
        <v>198</v>
      </c>
      <c r="H89" s="3">
        <v>46.226999999999997</v>
      </c>
      <c r="I89" s="3">
        <v>139.6</v>
      </c>
      <c r="J89" s="3">
        <v>13.52</v>
      </c>
      <c r="K89" s="3">
        <v>98.6</v>
      </c>
      <c r="L89" s="3">
        <v>30119.560547000001</v>
      </c>
      <c r="N89" s="3">
        <f t="shared" si="54"/>
        <v>-1.2378584232640044E-2</v>
      </c>
      <c r="O89" s="3">
        <f t="shared" si="55"/>
        <v>-5.5648446334073398E-3</v>
      </c>
      <c r="P89" s="3">
        <f t="shared" si="56"/>
        <v>-4.2621579629100736E-3</v>
      </c>
      <c r="Q89" s="3">
        <f t="shared" si="57"/>
        <v>-5.2414945908383359E-3</v>
      </c>
      <c r="R89" s="3">
        <f t="shared" si="58"/>
        <v>0</v>
      </c>
      <c r="S89" s="3">
        <f t="shared" si="59"/>
        <v>5.0492300997007078E-4</v>
      </c>
      <c r="T89" s="3">
        <f t="shared" si="60"/>
        <v>-1.7853719681594438E-2</v>
      </c>
      <c r="U89" s="3">
        <f t="shared" si="61"/>
        <v>-2.0261185139821336E-2</v>
      </c>
      <c r="V89" s="3">
        <f t="shared" si="62"/>
        <v>-1.6406035387109608E-2</v>
      </c>
      <c r="W89" s="3">
        <f t="shared" si="63"/>
        <v>2.0263431452329783E-3</v>
      </c>
      <c r="X89" s="3">
        <f t="shared" si="64"/>
        <v>-9.3434953953153155E-3</v>
      </c>
      <c r="AZ89" s="3" t="s">
        <v>94</v>
      </c>
      <c r="BA89" s="3">
        <v>84</v>
      </c>
      <c r="BB89" s="3">
        <f t="shared" si="65"/>
        <v>1.1390273027388298</v>
      </c>
      <c r="BC89" s="3">
        <f t="shared" si="66"/>
        <v>1.118901822846728</v>
      </c>
      <c r="BD89" s="3">
        <f t="shared" si="67"/>
        <v>1.0972811995947291</v>
      </c>
      <c r="BE89" s="3">
        <f t="shared" si="68"/>
        <v>1.0230057338564549</v>
      </c>
      <c r="BF89" s="3">
        <f t="shared" si="69"/>
        <v>1.1346977804144227</v>
      </c>
      <c r="BH89" s="3">
        <f t="shared" si="70"/>
        <v>6.9909376168636461E-4</v>
      </c>
      <c r="BI89" s="3">
        <f t="shared" si="71"/>
        <v>1.0147080050110918E-3</v>
      </c>
      <c r="BJ89" s="3">
        <f t="shared" si="72"/>
        <v>-1.3577083231006287E-3</v>
      </c>
      <c r="BK89" s="3">
        <f t="shared" si="73"/>
        <v>-4.3084178024336943E-3</v>
      </c>
    </row>
    <row r="90" spans="1:63" x14ac:dyDescent="0.2">
      <c r="A90" s="3" t="s">
        <v>97</v>
      </c>
      <c r="B90" s="3">
        <v>84.3</v>
      </c>
      <c r="C90" s="3">
        <v>89.6</v>
      </c>
      <c r="D90" s="3">
        <v>17.091000000000001</v>
      </c>
      <c r="E90" s="3">
        <v>66.599999999999994</v>
      </c>
      <c r="F90" s="3">
        <v>54.2</v>
      </c>
      <c r="G90" s="3">
        <v>198.1</v>
      </c>
      <c r="H90" s="3">
        <v>45.408999999999999</v>
      </c>
      <c r="I90" s="3">
        <v>136.80000000000001</v>
      </c>
      <c r="J90" s="3">
        <v>13.3</v>
      </c>
      <c r="K90" s="3">
        <v>98.8</v>
      </c>
      <c r="L90" s="3">
        <v>29839.449218999998</v>
      </c>
      <c r="N90" s="3">
        <f t="shared" si="54"/>
        <v>-5.9329577533873135E-4</v>
      </c>
      <c r="O90" s="3">
        <f t="shared" si="55"/>
        <v>3.3426214966905121E-3</v>
      </c>
      <c r="P90" s="3">
        <f t="shared" si="56"/>
        <v>6.357374653039205E-3</v>
      </c>
      <c r="Q90" s="3">
        <f t="shared" si="57"/>
        <v>4.4943895878395423E-3</v>
      </c>
      <c r="R90" s="3">
        <f t="shared" si="58"/>
        <v>9.2208397496840178E-4</v>
      </c>
      <c r="S90" s="3">
        <f t="shared" si="59"/>
        <v>3.5273405179685469E-3</v>
      </c>
      <c r="T90" s="3">
        <f t="shared" si="60"/>
        <v>0</v>
      </c>
      <c r="U90" s="3">
        <f t="shared" si="61"/>
        <v>-5.8651194523982042E-3</v>
      </c>
      <c r="V90" s="3">
        <f t="shared" si="62"/>
        <v>8.9820963158273592E-3</v>
      </c>
      <c r="W90" s="3">
        <f t="shared" si="63"/>
        <v>1.4070583896941713E-2</v>
      </c>
      <c r="X90" s="3">
        <f t="shared" si="64"/>
        <v>2.3535233570122216E-3</v>
      </c>
      <c r="AZ90" s="3" t="s">
        <v>95</v>
      </c>
      <c r="BA90" s="3">
        <v>85</v>
      </c>
      <c r="BB90" s="3">
        <f t="shared" si="65"/>
        <v>1.1398238680250339</v>
      </c>
      <c r="BC90" s="3">
        <f t="shared" si="66"/>
        <v>1.1200377577068237</v>
      </c>
      <c r="BD90" s="3">
        <f t="shared" si="67"/>
        <v>1.0957924226683671</v>
      </c>
      <c r="BE90" s="3">
        <f t="shared" si="68"/>
        <v>1.0186076788731351</v>
      </c>
      <c r="BF90" s="3">
        <f t="shared" si="69"/>
        <v>1.1377287005762684</v>
      </c>
      <c r="BH90" s="3">
        <f t="shared" si="70"/>
        <v>-4.5678327553444753E-3</v>
      </c>
      <c r="BI90" s="3">
        <f t="shared" si="71"/>
        <v>-4.3844206324838431E-3</v>
      </c>
      <c r="BJ90" s="3">
        <f t="shared" si="72"/>
        <v>-3.4861898681460973E-3</v>
      </c>
      <c r="BK90" s="3">
        <f t="shared" si="73"/>
        <v>-2.8047092977451227E-3</v>
      </c>
    </row>
    <row r="91" spans="1:63" x14ac:dyDescent="0.2">
      <c r="A91" s="3" t="s">
        <v>98</v>
      </c>
      <c r="B91" s="3">
        <v>84.25</v>
      </c>
      <c r="C91" s="3">
        <v>89.9</v>
      </c>
      <c r="D91" s="3">
        <v>17.2</v>
      </c>
      <c r="E91" s="3">
        <v>66.900000000000006</v>
      </c>
      <c r="F91" s="3">
        <v>54.25</v>
      </c>
      <c r="G91" s="3">
        <v>198.8</v>
      </c>
      <c r="H91" s="3">
        <v>45.408999999999999</v>
      </c>
      <c r="I91" s="3">
        <v>136</v>
      </c>
      <c r="J91" s="3">
        <v>13.42</v>
      </c>
      <c r="K91" s="3">
        <v>100.2</v>
      </c>
      <c r="L91" s="3">
        <v>29909.759765999999</v>
      </c>
      <c r="N91" s="3">
        <f t="shared" si="54"/>
        <v>-5.9523985272953439E-3</v>
      </c>
      <c r="O91" s="3">
        <f t="shared" si="55"/>
        <v>-4.4593161967654282E-3</v>
      </c>
      <c r="P91" s="3">
        <f t="shared" si="56"/>
        <v>-1.1696039763191113E-2</v>
      </c>
      <c r="Q91" s="3">
        <f t="shared" si="57"/>
        <v>2.9850768434531716E-3</v>
      </c>
      <c r="R91" s="3">
        <f t="shared" si="58"/>
        <v>-9.2208397496840178E-4</v>
      </c>
      <c r="S91" s="3">
        <f t="shared" si="59"/>
        <v>9.0135813053615621E-3</v>
      </c>
      <c r="T91" s="3">
        <f t="shared" si="60"/>
        <v>-8.0483331828284932E-3</v>
      </c>
      <c r="U91" s="3">
        <f t="shared" si="61"/>
        <v>-9.6048023197337073E-3</v>
      </c>
      <c r="V91" s="3">
        <f t="shared" si="62"/>
        <v>-5.9790910560577615E-3</v>
      </c>
      <c r="W91" s="3">
        <f t="shared" si="63"/>
        <v>-1.3058950022097449E-2</v>
      </c>
      <c r="X91" s="3">
        <f t="shared" si="64"/>
        <v>-3.3167567646881224E-3</v>
      </c>
      <c r="AZ91" s="3" t="s">
        <v>96</v>
      </c>
      <c r="BA91" s="3">
        <v>86</v>
      </c>
      <c r="BB91" s="3">
        <f t="shared" si="65"/>
        <v>1.1346292164074903</v>
      </c>
      <c r="BC91" s="3">
        <f t="shared" si="66"/>
        <v>1.1151377906604765</v>
      </c>
      <c r="BD91" s="3">
        <f t="shared" si="67"/>
        <v>1.0919789333630343</v>
      </c>
      <c r="BE91" s="3">
        <f t="shared" si="68"/>
        <v>1.0157547830872797</v>
      </c>
      <c r="BF91" s="3">
        <f t="shared" si="69"/>
        <v>1.1362977561187244</v>
      </c>
      <c r="BH91" s="3">
        <f t="shared" si="70"/>
        <v>-8.3632364444585078E-3</v>
      </c>
      <c r="BI91" s="3">
        <f t="shared" si="71"/>
        <v>-7.1831061108662136E-3</v>
      </c>
      <c r="BJ91" s="3">
        <f t="shared" si="72"/>
        <v>-5.0578438813637244E-3</v>
      </c>
      <c r="BK91" s="3">
        <f t="shared" si="73"/>
        <v>9.4555061596538273E-4</v>
      </c>
    </row>
    <row r="92" spans="1:63" x14ac:dyDescent="0.2">
      <c r="A92" s="3" t="s">
        <v>99</v>
      </c>
      <c r="B92" s="3">
        <v>83.75</v>
      </c>
      <c r="C92" s="3">
        <v>89.5</v>
      </c>
      <c r="D92" s="3">
        <v>17</v>
      </c>
      <c r="E92" s="3">
        <v>67.099999999999994</v>
      </c>
      <c r="F92" s="3">
        <v>54.2</v>
      </c>
      <c r="G92" s="3">
        <v>200.6</v>
      </c>
      <c r="H92" s="3">
        <v>45.045000000000002</v>
      </c>
      <c r="I92" s="3">
        <v>134.69999999999999</v>
      </c>
      <c r="J92" s="3">
        <v>13.34</v>
      </c>
      <c r="K92" s="3">
        <v>98.9</v>
      </c>
      <c r="L92" s="3">
        <v>29810.720702999999</v>
      </c>
      <c r="N92" s="3">
        <f t="shared" si="54"/>
        <v>-1.7926506145196086E-3</v>
      </c>
      <c r="O92" s="3">
        <f t="shared" si="55"/>
        <v>-3.3575856948457883E-3</v>
      </c>
      <c r="P92" s="3">
        <f t="shared" si="56"/>
        <v>-2.1198924438721178E-3</v>
      </c>
      <c r="Q92" s="3">
        <f t="shared" si="57"/>
        <v>7.4239390712822484E-3</v>
      </c>
      <c r="R92" s="3">
        <f t="shared" si="58"/>
        <v>9.2208397496840178E-4</v>
      </c>
      <c r="S92" s="3">
        <f t="shared" si="59"/>
        <v>1.7787030202729426E-2</v>
      </c>
      <c r="T92" s="3">
        <f t="shared" si="60"/>
        <v>4.0322635279386176E-3</v>
      </c>
      <c r="U92" s="3">
        <f t="shared" si="61"/>
        <v>-6.7039357221903018E-3</v>
      </c>
      <c r="V92" s="3">
        <f t="shared" si="62"/>
        <v>2.9940142126045899E-3</v>
      </c>
      <c r="W92" s="3">
        <f t="shared" si="63"/>
        <v>1.0106115059231868E-3</v>
      </c>
      <c r="X92" s="3">
        <f t="shared" si="64"/>
        <v>1.0648926037188033E-2</v>
      </c>
      <c r="AZ92" s="3" t="s">
        <v>97</v>
      </c>
      <c r="BA92" s="3">
        <v>87</v>
      </c>
      <c r="BB92" s="3">
        <f t="shared" si="65"/>
        <v>1.1251796137030481</v>
      </c>
      <c r="BC92" s="3">
        <f t="shared" si="66"/>
        <v>1.1071563377118814</v>
      </c>
      <c r="BD92" s="3">
        <f t="shared" si="67"/>
        <v>1.0864698182628081</v>
      </c>
      <c r="BE92" s="3">
        <f t="shared" si="68"/>
        <v>1.0167156848671401</v>
      </c>
      <c r="BF92" s="3">
        <f t="shared" si="69"/>
        <v>1.1257302090599564</v>
      </c>
      <c r="BH92" s="3">
        <f t="shared" si="70"/>
        <v>3.5651628304747551E-3</v>
      </c>
      <c r="BI92" s="3">
        <f t="shared" si="71"/>
        <v>3.4791198945330337E-3</v>
      </c>
      <c r="BJ92" s="3">
        <f t="shared" si="72"/>
        <v>2.1896762428467165E-3</v>
      </c>
      <c r="BK92" s="3">
        <f t="shared" si="73"/>
        <v>2.5334273352247208E-4</v>
      </c>
    </row>
    <row r="93" spans="1:63" x14ac:dyDescent="0.2">
      <c r="A93" s="3" t="s">
        <v>100</v>
      </c>
      <c r="B93" s="3">
        <v>83.6</v>
      </c>
      <c r="C93" s="3">
        <v>89.2</v>
      </c>
      <c r="D93" s="3">
        <v>16.963999999999999</v>
      </c>
      <c r="E93" s="3">
        <v>67.599999999999994</v>
      </c>
      <c r="F93" s="3">
        <v>54.25</v>
      </c>
      <c r="G93" s="3">
        <v>204.2</v>
      </c>
      <c r="H93" s="3">
        <v>45.226999999999997</v>
      </c>
      <c r="I93" s="3">
        <v>133.80000000000001</v>
      </c>
      <c r="J93" s="3">
        <v>13.38</v>
      </c>
      <c r="K93" s="3">
        <v>99</v>
      </c>
      <c r="L93" s="3">
        <v>30129.869140999999</v>
      </c>
      <c r="N93" s="3">
        <f t="shared" si="54"/>
        <v>-4.7961722634930481E-3</v>
      </c>
      <c r="O93" s="3">
        <f t="shared" si="55"/>
        <v>-2.8066254741192509E-3</v>
      </c>
      <c r="P93" s="3">
        <f t="shared" si="56"/>
        <v>-5.3787403961433888E-3</v>
      </c>
      <c r="Q93" s="3">
        <f t="shared" si="57"/>
        <v>3.6914032319597112E-3</v>
      </c>
      <c r="R93" s="3">
        <f t="shared" si="58"/>
        <v>0</v>
      </c>
      <c r="S93" s="3">
        <f t="shared" si="59"/>
        <v>-6.8796340135364176E-3</v>
      </c>
      <c r="T93" s="3">
        <f t="shared" si="60"/>
        <v>0</v>
      </c>
      <c r="U93" s="3">
        <f t="shared" si="61"/>
        <v>0</v>
      </c>
      <c r="V93" s="3">
        <f t="shared" si="62"/>
        <v>2.9850768434531716E-3</v>
      </c>
      <c r="W93" s="3">
        <f t="shared" si="63"/>
        <v>1.5140048312156651E-3</v>
      </c>
      <c r="X93" s="3">
        <f t="shared" si="64"/>
        <v>-1.7225099560747026E-4</v>
      </c>
      <c r="AZ93" s="3" t="s">
        <v>98</v>
      </c>
      <c r="BA93" s="3">
        <v>88</v>
      </c>
      <c r="BB93" s="3">
        <f t="shared" si="65"/>
        <v>1.1291982214784619</v>
      </c>
      <c r="BC93" s="3">
        <f t="shared" si="66"/>
        <v>1.1110149757928625</v>
      </c>
      <c r="BD93" s="3">
        <f t="shared" si="67"/>
        <v>1.0888514419532414</v>
      </c>
      <c r="BE93" s="3">
        <f t="shared" si="68"/>
        <v>1.0169732950284129</v>
      </c>
      <c r="BF93" s="3">
        <f t="shared" si="69"/>
        <v>1.1283827615984607</v>
      </c>
      <c r="BH93" s="3">
        <f t="shared" si="70"/>
        <v>-5.0545916672822822E-3</v>
      </c>
      <c r="BI93" s="3">
        <f t="shared" si="71"/>
        <v>-4.5527592339964645E-3</v>
      </c>
      <c r="BJ93" s="3">
        <f t="shared" si="72"/>
        <v>-5.4924506034345483E-3</v>
      </c>
      <c r="BK93" s="3">
        <f t="shared" si="73"/>
        <v>-5.9727750643735027E-3</v>
      </c>
    </row>
    <row r="94" spans="1:63" x14ac:dyDescent="0.2">
      <c r="A94" s="3" t="s">
        <v>101</v>
      </c>
      <c r="B94" s="3">
        <v>83.2</v>
      </c>
      <c r="C94" s="3">
        <v>88.95</v>
      </c>
      <c r="D94" s="3">
        <v>16.873000000000001</v>
      </c>
      <c r="E94" s="3">
        <v>67.849999999999994</v>
      </c>
      <c r="F94" s="3">
        <v>54.25</v>
      </c>
      <c r="G94" s="3">
        <v>202.8</v>
      </c>
      <c r="H94" s="3">
        <v>45.226999999999997</v>
      </c>
      <c r="I94" s="3">
        <v>133.80000000000001</v>
      </c>
      <c r="J94" s="3">
        <v>13.42</v>
      </c>
      <c r="K94" s="3">
        <v>99.15</v>
      </c>
      <c r="L94" s="3">
        <v>30124.679688</v>
      </c>
      <c r="N94" s="3">
        <f t="shared" si="54"/>
        <v>-4.8192864359490883E-3</v>
      </c>
      <c r="O94" s="3">
        <f t="shared" si="55"/>
        <v>-2.8145247963102804E-3</v>
      </c>
      <c r="P94" s="3">
        <f t="shared" si="56"/>
        <v>-5.407827768323159E-3</v>
      </c>
      <c r="Q94" s="3">
        <f t="shared" si="57"/>
        <v>-3.6914032319597112E-3</v>
      </c>
      <c r="R94" s="3">
        <f t="shared" si="58"/>
        <v>4.5977092486295668E-3</v>
      </c>
      <c r="S94" s="3">
        <f t="shared" si="59"/>
        <v>8.8365818004980667E-3</v>
      </c>
      <c r="T94" s="3">
        <f t="shared" si="60"/>
        <v>2.0100509280238654E-3</v>
      </c>
      <c r="U94" s="3">
        <f t="shared" si="61"/>
        <v>-2.2446698538240994E-3</v>
      </c>
      <c r="V94" s="3">
        <f t="shared" si="62"/>
        <v>-1.0486987495248012E-2</v>
      </c>
      <c r="W94" s="3">
        <f t="shared" si="63"/>
        <v>-4.5489085263694662E-3</v>
      </c>
      <c r="X94" s="3">
        <f t="shared" si="64"/>
        <v>-5.3728023219203891E-3</v>
      </c>
      <c r="AZ94" s="3" t="s">
        <v>99</v>
      </c>
      <c r="BA94" s="3">
        <v>89</v>
      </c>
      <c r="BB94" s="3">
        <f t="shared" si="65"/>
        <v>1.1235049861686637</v>
      </c>
      <c r="BC94" s="3">
        <f t="shared" si="66"/>
        <v>1.1059682889948197</v>
      </c>
      <c r="BD94" s="3">
        <f t="shared" si="67"/>
        <v>1.0828873728644395</v>
      </c>
      <c r="BE94" s="3">
        <f t="shared" si="68"/>
        <v>1.0109172460036702</v>
      </c>
      <c r="BF94" s="3">
        <f t="shared" si="69"/>
        <v>1.1246463901836323</v>
      </c>
      <c r="BH94" s="3">
        <f t="shared" si="70"/>
        <v>1.9914176428114105E-3</v>
      </c>
      <c r="BI94" s="3">
        <f t="shared" si="71"/>
        <v>1.9697382000155167E-3</v>
      </c>
      <c r="BJ94" s="3">
        <f t="shared" si="72"/>
        <v>-1.550011405723431E-3</v>
      </c>
      <c r="BK94" s="3">
        <f t="shared" si="73"/>
        <v>-7.1719049416969841E-3</v>
      </c>
    </row>
    <row r="95" spans="1:63" x14ac:dyDescent="0.2">
      <c r="A95" s="3" t="s">
        <v>102</v>
      </c>
      <c r="B95" s="3">
        <v>82.8</v>
      </c>
      <c r="C95" s="3">
        <v>88.7</v>
      </c>
      <c r="D95" s="3">
        <v>16.782</v>
      </c>
      <c r="E95" s="3">
        <v>67.599999999999994</v>
      </c>
      <c r="F95" s="3">
        <v>54.5</v>
      </c>
      <c r="G95" s="3">
        <v>204.6</v>
      </c>
      <c r="H95" s="3">
        <v>45.317999999999998</v>
      </c>
      <c r="I95" s="3">
        <v>133.5</v>
      </c>
      <c r="J95" s="3">
        <v>13.28</v>
      </c>
      <c r="K95" s="3">
        <v>98.7</v>
      </c>
      <c r="L95" s="3">
        <v>29963.259765999999</v>
      </c>
      <c r="N95" s="3">
        <f t="shared" si="54"/>
        <v>-4.8426244757875381E-3</v>
      </c>
      <c r="O95" s="3">
        <f t="shared" si="55"/>
        <v>-2.8224687097395673E-3</v>
      </c>
      <c r="P95" s="3">
        <f t="shared" si="56"/>
        <v>1.2906460608338666E-2</v>
      </c>
      <c r="Q95" s="3">
        <f t="shared" si="57"/>
        <v>1.4781968693107217E-3</v>
      </c>
      <c r="R95" s="3">
        <f t="shared" si="58"/>
        <v>9.1701060988125249E-4</v>
      </c>
      <c r="S95" s="3">
        <f t="shared" si="59"/>
        <v>8.7591800898811911E-3</v>
      </c>
      <c r="T95" s="3">
        <f t="shared" si="60"/>
        <v>1.0145343937182361E-3</v>
      </c>
      <c r="U95" s="3">
        <f t="shared" si="61"/>
        <v>-5.2572407979702973E-3</v>
      </c>
      <c r="V95" s="3">
        <f t="shared" si="62"/>
        <v>-7.558614973926403E-3</v>
      </c>
      <c r="W95" s="3">
        <f t="shared" si="63"/>
        <v>8.0726977251108778E-3</v>
      </c>
      <c r="X95" s="3">
        <f t="shared" si="64"/>
        <v>-6.5186520181725882E-7</v>
      </c>
      <c r="AZ95" s="3" t="s">
        <v>100</v>
      </c>
      <c r="BA95" s="3">
        <v>90</v>
      </c>
      <c r="BB95" s="3">
        <f t="shared" si="65"/>
        <v>1.1257445830661548</v>
      </c>
      <c r="BC95" s="3">
        <f t="shared" si="66"/>
        <v>1.1081489038968531</v>
      </c>
      <c r="BD95" s="3">
        <f t="shared" si="67"/>
        <v>1.0812101852511427</v>
      </c>
      <c r="BE95" s="3">
        <f t="shared" si="68"/>
        <v>1.0036929804500383</v>
      </c>
      <c r="BF95" s="3">
        <f t="shared" si="69"/>
        <v>1.1366866606053174</v>
      </c>
      <c r="BH95" s="3">
        <f t="shared" si="70"/>
        <v>-1.1208493251537721E-3</v>
      </c>
      <c r="BI95" s="3">
        <f t="shared" si="71"/>
        <v>-1.2955634757000761E-3</v>
      </c>
      <c r="BJ95" s="3">
        <f t="shared" si="72"/>
        <v>-2.808546241483495E-3</v>
      </c>
      <c r="BK95" s="3">
        <f t="shared" si="73"/>
        <v>-5.1434036790170071E-3</v>
      </c>
    </row>
    <row r="96" spans="1:63" x14ac:dyDescent="0.2">
      <c r="A96" s="3" t="s">
        <v>103</v>
      </c>
      <c r="B96" s="3">
        <v>82.4</v>
      </c>
      <c r="C96" s="3">
        <v>88.45</v>
      </c>
      <c r="D96" s="3">
        <v>17</v>
      </c>
      <c r="E96" s="3">
        <v>67.7</v>
      </c>
      <c r="F96" s="3">
        <v>54.55</v>
      </c>
      <c r="G96" s="3">
        <v>206.4</v>
      </c>
      <c r="H96" s="3">
        <v>45.363999999999997</v>
      </c>
      <c r="I96" s="3">
        <v>132.80000000000001</v>
      </c>
      <c r="J96" s="3">
        <v>13.18</v>
      </c>
      <c r="K96" s="3">
        <v>99.5</v>
      </c>
      <c r="L96" s="3">
        <v>29963.240234000001</v>
      </c>
      <c r="N96" s="3">
        <f t="shared" si="54"/>
        <v>-3.6474204570433599E-3</v>
      </c>
      <c r="O96" s="3">
        <f t="shared" si="55"/>
        <v>-5.6545096219640101E-4</v>
      </c>
      <c r="P96" s="3">
        <f t="shared" si="56"/>
        <v>-4.3033638492562254E-3</v>
      </c>
      <c r="Q96" s="3">
        <f t="shared" si="57"/>
        <v>-7.4129323891254373E-3</v>
      </c>
      <c r="R96" s="3">
        <f t="shared" si="58"/>
        <v>9.1617047177949829E-4</v>
      </c>
      <c r="S96" s="3">
        <f t="shared" si="59"/>
        <v>-3.8835000263972574E-3</v>
      </c>
      <c r="T96" s="3">
        <f t="shared" si="60"/>
        <v>-1.0080618857078782E-2</v>
      </c>
      <c r="U96" s="3">
        <f t="shared" si="61"/>
        <v>3.0075210639548544E-3</v>
      </c>
      <c r="V96" s="3">
        <f t="shared" si="62"/>
        <v>-6.0882988672554816E-3</v>
      </c>
      <c r="W96" s="3">
        <f t="shared" si="63"/>
        <v>-8.5794116959228006E-3</v>
      </c>
      <c r="X96" s="3">
        <f t="shared" si="64"/>
        <v>-5.2672902260315624E-3</v>
      </c>
      <c r="AZ96" s="3" t="s">
        <v>101</v>
      </c>
      <c r="BA96" s="3">
        <v>91</v>
      </c>
      <c r="BB96" s="3">
        <f t="shared" si="65"/>
        <v>1.1244834998840716</v>
      </c>
      <c r="BC96" s="3">
        <f t="shared" si="66"/>
        <v>1.1067141562553313</v>
      </c>
      <c r="BD96" s="3">
        <f t="shared" si="67"/>
        <v>1.0781778167159874</v>
      </c>
      <c r="BE96" s="3">
        <f t="shared" si="68"/>
        <v>0.99854383569836047</v>
      </c>
      <c r="BF96" s="3">
        <f t="shared" si="69"/>
        <v>1.1364908820583437</v>
      </c>
      <c r="BH96" s="3">
        <f t="shared" si="70"/>
        <v>-1.9491177473788951E-3</v>
      </c>
      <c r="BI96" s="3">
        <f t="shared" si="71"/>
        <v>-1.5629733549810537E-3</v>
      </c>
      <c r="BJ96" s="3">
        <f t="shared" si="72"/>
        <v>-5.1151946472187404E-4</v>
      </c>
      <c r="BK96" s="3">
        <f t="shared" si="73"/>
        <v>1.724332790531246E-3</v>
      </c>
    </row>
    <row r="97" spans="1:63" x14ac:dyDescent="0.2">
      <c r="A97" s="3" t="s">
        <v>104</v>
      </c>
      <c r="B97" s="3">
        <v>82.1</v>
      </c>
      <c r="C97" s="3">
        <v>88.4</v>
      </c>
      <c r="D97" s="3">
        <v>16.927</v>
      </c>
      <c r="E97" s="3">
        <v>67.2</v>
      </c>
      <c r="F97" s="3">
        <v>54.6</v>
      </c>
      <c r="G97" s="3">
        <v>205.6</v>
      </c>
      <c r="H97" s="3">
        <v>44.908999999999999</v>
      </c>
      <c r="I97" s="3">
        <v>133.19999999999999</v>
      </c>
      <c r="J97" s="3">
        <v>13.1</v>
      </c>
      <c r="K97" s="3">
        <v>98.65</v>
      </c>
      <c r="L97" s="3">
        <v>29805.830077999999</v>
      </c>
      <c r="N97" s="3">
        <f t="shared" si="54"/>
        <v>2.4330912246410819E-3</v>
      </c>
      <c r="O97" s="3">
        <f t="shared" si="55"/>
        <v>-2.8320607997187608E-3</v>
      </c>
      <c r="P97" s="3">
        <f t="shared" si="56"/>
        <v>0</v>
      </c>
      <c r="Q97" s="3">
        <f t="shared" si="57"/>
        <v>-4.4742803949207044E-3</v>
      </c>
      <c r="R97" s="3">
        <f t="shared" si="58"/>
        <v>2.743485945750912E-3</v>
      </c>
      <c r="S97" s="3">
        <f t="shared" si="59"/>
        <v>-6.8326278504455829E-3</v>
      </c>
      <c r="T97" s="3">
        <f t="shared" si="60"/>
        <v>-4.0608739816336836E-3</v>
      </c>
      <c r="U97" s="3">
        <f t="shared" si="61"/>
        <v>1.4903405502574962E-2</v>
      </c>
      <c r="V97" s="3">
        <f t="shared" si="62"/>
        <v>0</v>
      </c>
      <c r="W97" s="3">
        <f t="shared" si="63"/>
        <v>1.3091828477785228E-2</v>
      </c>
      <c r="X97" s="3">
        <f t="shared" si="64"/>
        <v>-8.6270125079987992E-3</v>
      </c>
      <c r="AZ97" s="3" t="s">
        <v>102</v>
      </c>
      <c r="BA97" s="3">
        <v>92</v>
      </c>
      <c r="BB97" s="3">
        <f t="shared" si="65"/>
        <v>1.122293883740862</v>
      </c>
      <c r="BC97" s="3">
        <f t="shared" si="66"/>
        <v>1.1049857426016272</v>
      </c>
      <c r="BD97" s="3">
        <f t="shared" si="67"/>
        <v>1.0776264488060372</v>
      </c>
      <c r="BE97" s="3">
        <f t="shared" si="68"/>
        <v>1.000267142927624</v>
      </c>
      <c r="BF97" s="3">
        <f t="shared" si="69"/>
        <v>1.1304011154139983</v>
      </c>
      <c r="BH97" s="3">
        <f t="shared" si="70"/>
        <v>1.2944460213560327E-3</v>
      </c>
      <c r="BI97" s="3">
        <f t="shared" si="71"/>
        <v>1.7987519124075396E-3</v>
      </c>
      <c r="BJ97" s="3">
        <f t="shared" si="72"/>
        <v>1.9260029157839448E-3</v>
      </c>
      <c r="BK97" s="3">
        <f t="shared" si="73"/>
        <v>2.6484354260594787E-3</v>
      </c>
    </row>
    <row r="98" spans="1:63" x14ac:dyDescent="0.2">
      <c r="A98" s="3" t="s">
        <v>105</v>
      </c>
      <c r="B98" s="3">
        <v>82.3</v>
      </c>
      <c r="C98" s="3">
        <v>88.15</v>
      </c>
      <c r="D98" s="3">
        <v>16.927</v>
      </c>
      <c r="E98" s="3">
        <v>66.900000000000006</v>
      </c>
      <c r="F98" s="3">
        <v>54.75</v>
      </c>
      <c r="G98" s="3">
        <v>204.2</v>
      </c>
      <c r="H98" s="3">
        <v>44.726999999999997</v>
      </c>
      <c r="I98" s="3">
        <v>135.19999999999999</v>
      </c>
      <c r="J98" s="3">
        <v>13.1</v>
      </c>
      <c r="K98" s="3">
        <v>99.95</v>
      </c>
      <c r="L98" s="3">
        <v>29549.800781000002</v>
      </c>
      <c r="N98" s="3">
        <f t="shared" si="54"/>
        <v>-3.651860418770525E-3</v>
      </c>
      <c r="O98" s="3">
        <f t="shared" si="55"/>
        <v>1.0719425632884416E-2</v>
      </c>
      <c r="P98" s="3">
        <f t="shared" si="56"/>
        <v>4.3033638492562254E-3</v>
      </c>
      <c r="Q98" s="3">
        <f t="shared" si="57"/>
        <v>1.4936522567827737E-3</v>
      </c>
      <c r="R98" s="3">
        <f t="shared" si="58"/>
        <v>3.6463121530205811E-3</v>
      </c>
      <c r="S98" s="3">
        <f t="shared" si="59"/>
        <v>7.8049176693841815E-3</v>
      </c>
      <c r="T98" s="3">
        <f t="shared" si="60"/>
        <v>-2.0532654248343718E-2</v>
      </c>
      <c r="U98" s="3">
        <f t="shared" si="61"/>
        <v>5.1641575482346269E-3</v>
      </c>
      <c r="V98" s="3">
        <f t="shared" si="62"/>
        <v>-3.0581063588206447E-3</v>
      </c>
      <c r="W98" s="3">
        <f t="shared" si="63"/>
        <v>6.4821967192294494E-3</v>
      </c>
      <c r="X98" s="3">
        <f t="shared" si="64"/>
        <v>1.866593790742499E-3</v>
      </c>
      <c r="AZ98" s="3" t="s">
        <v>103</v>
      </c>
      <c r="BA98" s="3">
        <v>93</v>
      </c>
      <c r="BB98" s="3">
        <f t="shared" si="65"/>
        <v>1.1237475732517821</v>
      </c>
      <c r="BC98" s="3">
        <f t="shared" si="66"/>
        <v>1.1069751264869601</v>
      </c>
      <c r="BD98" s="3">
        <f t="shared" si="67"/>
        <v>1.0797039604931384</v>
      </c>
      <c r="BE98" s="3">
        <f t="shared" si="68"/>
        <v>1.0029197970054706</v>
      </c>
      <c r="BF98" s="3">
        <f t="shared" si="69"/>
        <v>1.1304003785450876</v>
      </c>
      <c r="BH98" s="3">
        <f t="shared" si="70"/>
        <v>-4.1545947844406905E-3</v>
      </c>
      <c r="BI98" s="3">
        <f t="shared" si="71"/>
        <v>-3.8786550247229684E-3</v>
      </c>
      <c r="BJ98" s="3">
        <f t="shared" si="72"/>
        <v>-8.2342076537049447E-4</v>
      </c>
      <c r="BK98" s="3">
        <f t="shared" si="73"/>
        <v>4.4095733702282456E-3</v>
      </c>
    </row>
    <row r="99" spans="1:63" x14ac:dyDescent="0.2">
      <c r="A99" s="3" t="s">
        <v>106</v>
      </c>
      <c r="B99" s="3">
        <v>82</v>
      </c>
      <c r="C99" s="3">
        <v>89.1</v>
      </c>
      <c r="D99" s="3">
        <v>17</v>
      </c>
      <c r="E99" s="3">
        <v>67</v>
      </c>
      <c r="F99" s="3">
        <v>54.95</v>
      </c>
      <c r="G99" s="3">
        <v>205.8</v>
      </c>
      <c r="H99" s="3">
        <v>43.817999999999998</v>
      </c>
      <c r="I99" s="3">
        <v>135.9</v>
      </c>
      <c r="J99" s="3">
        <v>13.06</v>
      </c>
      <c r="K99" s="3">
        <v>100.6</v>
      </c>
      <c r="L99" s="3">
        <v>29605.009765999999</v>
      </c>
      <c r="N99" s="3">
        <f t="shared" si="54"/>
        <v>1.2723588795050311E-2</v>
      </c>
      <c r="O99" s="3">
        <f t="shared" si="55"/>
        <v>8.9386070008110607E-3</v>
      </c>
      <c r="P99" s="3">
        <f t="shared" si="56"/>
        <v>1.0648980159648325E-2</v>
      </c>
      <c r="Q99" s="3">
        <f t="shared" si="57"/>
        <v>6.6939632627995849E-3</v>
      </c>
      <c r="R99" s="3">
        <f t="shared" si="58"/>
        <v>9.0950438284043145E-4</v>
      </c>
      <c r="S99" s="3">
        <f t="shared" si="59"/>
        <v>-2.9197101033346939E-3</v>
      </c>
      <c r="T99" s="3">
        <f t="shared" si="60"/>
        <v>1.033031856348865E-2</v>
      </c>
      <c r="U99" s="3">
        <f t="shared" si="61"/>
        <v>2.2050725583131481E-3</v>
      </c>
      <c r="V99" s="3">
        <f t="shared" si="62"/>
        <v>3.0581063588206447E-3</v>
      </c>
      <c r="W99" s="3">
        <f t="shared" si="63"/>
        <v>-3.9840690148746916E-3</v>
      </c>
      <c r="X99" s="3">
        <f t="shared" si="64"/>
        <v>9.674405690415E-3</v>
      </c>
      <c r="AZ99" s="3" t="s">
        <v>104</v>
      </c>
      <c r="BA99" s="3">
        <v>94</v>
      </c>
      <c r="BB99" s="3">
        <f t="shared" si="65"/>
        <v>1.1190885423391803</v>
      </c>
      <c r="BC99" s="3">
        <f t="shared" si="66"/>
        <v>1.1026898677428203</v>
      </c>
      <c r="BD99" s="3">
        <f t="shared" si="67"/>
        <v>1.0788152757625584</v>
      </c>
      <c r="BE99" s="3">
        <f t="shared" si="68"/>
        <v>1.0073520103379765</v>
      </c>
      <c r="BF99" s="3">
        <f t="shared" si="69"/>
        <v>1.1244618852933685</v>
      </c>
      <c r="BH99" s="3">
        <f t="shared" si="70"/>
        <v>1.6184312486618863E-3</v>
      </c>
      <c r="BI99" s="3">
        <f t="shared" si="71"/>
        <v>1.1266129678342562E-3</v>
      </c>
      <c r="BJ99" s="3">
        <f t="shared" si="72"/>
        <v>6.9383935706596178E-4</v>
      </c>
      <c r="BK99" s="3">
        <f t="shared" si="73"/>
        <v>-2.0844840343979196E-4</v>
      </c>
    </row>
    <row r="100" spans="1:63" x14ac:dyDescent="0.2">
      <c r="A100" s="3" t="s">
        <v>107</v>
      </c>
      <c r="B100" s="3">
        <v>83.05</v>
      </c>
      <c r="C100" s="3">
        <v>89.9</v>
      </c>
      <c r="D100" s="3">
        <v>17.181999999999999</v>
      </c>
      <c r="E100" s="3">
        <v>67.45</v>
      </c>
      <c r="F100" s="3">
        <v>55</v>
      </c>
      <c r="G100" s="3">
        <v>205.2</v>
      </c>
      <c r="H100" s="3">
        <v>44.273000000000003</v>
      </c>
      <c r="I100" s="3">
        <v>136.19999999999999</v>
      </c>
      <c r="J100" s="3">
        <v>13.1</v>
      </c>
      <c r="K100" s="3">
        <v>100.2</v>
      </c>
      <c r="L100" s="3">
        <v>29892.810547000001</v>
      </c>
      <c r="N100" s="3">
        <f t="shared" si="54"/>
        <v>-7.8573991438775082E-3</v>
      </c>
      <c r="O100" s="3">
        <f t="shared" si="55"/>
        <v>-1.0623527365730467E-2</v>
      </c>
      <c r="P100" s="3">
        <f t="shared" si="56"/>
        <v>-9.5907167884989875E-3</v>
      </c>
      <c r="Q100" s="3">
        <f t="shared" si="57"/>
        <v>3.6995972644637831E-3</v>
      </c>
      <c r="R100" s="3">
        <f t="shared" si="58"/>
        <v>-5.4694758045359393E-3</v>
      </c>
      <c r="S100" s="3">
        <f t="shared" si="59"/>
        <v>3.8910554929669772E-3</v>
      </c>
      <c r="T100" s="3">
        <f t="shared" si="60"/>
        <v>-8.2556999708320866E-3</v>
      </c>
      <c r="U100" s="3">
        <f t="shared" si="61"/>
        <v>-5.8910332372370533E-3</v>
      </c>
      <c r="V100" s="3">
        <f t="shared" si="62"/>
        <v>-9.2025189311617517E-3</v>
      </c>
      <c r="W100" s="3">
        <f t="shared" si="63"/>
        <v>-9.0226175996370728E-3</v>
      </c>
      <c r="X100" s="3">
        <f t="shared" si="64"/>
        <v>-6.5009435655234427E-3</v>
      </c>
      <c r="AZ100" s="3" t="s">
        <v>105</v>
      </c>
      <c r="BA100" s="3">
        <v>95</v>
      </c>
      <c r="BB100" s="3">
        <f t="shared" si="65"/>
        <v>1.120901176622449</v>
      </c>
      <c r="BC100" s="3">
        <f t="shared" si="66"/>
        <v>1.1039328725084885</v>
      </c>
      <c r="BD100" s="3">
        <f t="shared" si="67"/>
        <v>1.0795640599978331</v>
      </c>
      <c r="BE100" s="3">
        <f t="shared" si="68"/>
        <v>1.0071420513032927</v>
      </c>
      <c r="BF100" s="3">
        <f t="shared" si="69"/>
        <v>1.1148028627047828</v>
      </c>
      <c r="BH100" s="3">
        <f t="shared" si="70"/>
        <v>1.0415079009472444E-3</v>
      </c>
      <c r="BI100" s="3">
        <f t="shared" si="71"/>
        <v>1.7379946292508941E-3</v>
      </c>
      <c r="BJ100" s="3">
        <f t="shared" si="72"/>
        <v>4.14886526829987E-3</v>
      </c>
      <c r="BK100" s="3">
        <f t="shared" si="73"/>
        <v>9.1448056783902838E-3</v>
      </c>
    </row>
    <row r="101" spans="1:63" x14ac:dyDescent="0.2">
      <c r="A101" s="3" t="s">
        <v>108</v>
      </c>
      <c r="B101" s="3">
        <v>82.4</v>
      </c>
      <c r="C101" s="3">
        <v>88.95</v>
      </c>
      <c r="D101" s="3">
        <v>17.018000000000001</v>
      </c>
      <c r="E101" s="3">
        <v>67.7</v>
      </c>
      <c r="F101" s="3">
        <v>54.7</v>
      </c>
      <c r="G101" s="3">
        <v>206</v>
      </c>
      <c r="H101" s="3">
        <v>43.908999999999999</v>
      </c>
      <c r="I101" s="3">
        <v>135.4</v>
      </c>
      <c r="J101" s="3">
        <v>12.98</v>
      </c>
      <c r="K101" s="3">
        <v>99.3</v>
      </c>
      <c r="L101" s="3">
        <v>29699.109375</v>
      </c>
      <c r="N101" s="3">
        <f t="shared" si="54"/>
        <v>3.6341651142191012E-3</v>
      </c>
      <c r="O101" s="3">
        <f t="shared" si="55"/>
        <v>-3.9425565008093244E-3</v>
      </c>
      <c r="P101" s="3">
        <f t="shared" si="56"/>
        <v>4.2804017390025706E-3</v>
      </c>
      <c r="Q101" s="3">
        <f t="shared" si="57"/>
        <v>8.0912541468398658E-3</v>
      </c>
      <c r="R101" s="3">
        <f t="shared" si="58"/>
        <v>3.649639087549339E-3</v>
      </c>
      <c r="S101" s="3">
        <f t="shared" si="59"/>
        <v>-7.7973104600319587E-3</v>
      </c>
      <c r="T101" s="3">
        <f t="shared" si="60"/>
        <v>-4.1535501769809358E-3</v>
      </c>
      <c r="U101" s="3">
        <f t="shared" si="61"/>
        <v>3.6859606789239052E-3</v>
      </c>
      <c r="V101" s="3">
        <f t="shared" si="62"/>
        <v>9.2025189311617517E-3</v>
      </c>
      <c r="W101" s="3">
        <f t="shared" si="63"/>
        <v>1.5094342488541912E-3</v>
      </c>
      <c r="X101" s="3">
        <f t="shared" si="64"/>
        <v>8.2179134003315113E-3</v>
      </c>
      <c r="AZ101" s="3" t="s">
        <v>106</v>
      </c>
      <c r="BA101" s="3">
        <v>96</v>
      </c>
      <c r="BB101" s="3">
        <f t="shared" si="65"/>
        <v>1.1220692122076432</v>
      </c>
      <c r="BC101" s="3">
        <f t="shared" si="66"/>
        <v>1.1058531701620911</v>
      </c>
      <c r="BD101" s="3">
        <f t="shared" si="67"/>
        <v>1.0840523300069622</v>
      </c>
      <c r="BE101" s="3">
        <f t="shared" si="68"/>
        <v>1.0163944106881224</v>
      </c>
      <c r="BF101" s="3">
        <f t="shared" si="69"/>
        <v>1.1168856900978053</v>
      </c>
      <c r="BH101" s="3">
        <f t="shared" si="70"/>
        <v>4.7535842160305736E-3</v>
      </c>
      <c r="BI101" s="3">
        <f t="shared" si="71"/>
        <v>5.0251711677516686E-3</v>
      </c>
      <c r="BJ101" s="3">
        <f t="shared" si="72"/>
        <v>6.5745013489584142E-3</v>
      </c>
      <c r="BK101" s="3">
        <f t="shared" si="73"/>
        <v>9.0712560367757836E-3</v>
      </c>
    </row>
    <row r="102" spans="1:63" x14ac:dyDescent="0.2">
      <c r="A102" s="3" t="s">
        <v>109</v>
      </c>
      <c r="B102" s="3">
        <v>82.7</v>
      </c>
      <c r="C102" s="3">
        <v>88.6</v>
      </c>
      <c r="D102" s="3">
        <v>17.091000000000001</v>
      </c>
      <c r="E102" s="3">
        <v>68.25</v>
      </c>
      <c r="F102" s="3">
        <v>54.9</v>
      </c>
      <c r="G102" s="3">
        <v>204.4</v>
      </c>
      <c r="H102" s="3">
        <v>43.726999999999997</v>
      </c>
      <c r="I102" s="3">
        <v>135.9</v>
      </c>
      <c r="J102" s="3">
        <v>13.1</v>
      </c>
      <c r="K102" s="3">
        <v>99.45</v>
      </c>
      <c r="L102" s="3">
        <v>29944.179688</v>
      </c>
      <c r="N102" s="3">
        <f t="shared" si="54"/>
        <v>-6.0642999675106779E-3</v>
      </c>
      <c r="O102" s="3">
        <f t="shared" si="55"/>
        <v>9.5479523436932112E-3</v>
      </c>
      <c r="P102" s="3">
        <f t="shared" si="56"/>
        <v>7.403339069394832E-3</v>
      </c>
      <c r="Q102" s="3">
        <f t="shared" si="57"/>
        <v>2.1022883701409256E-2</v>
      </c>
      <c r="R102" s="3">
        <f t="shared" si="58"/>
        <v>3.636367643384375E-3</v>
      </c>
      <c r="S102" s="3">
        <f t="shared" si="59"/>
        <v>3.9333607578297958E-2</v>
      </c>
      <c r="T102" s="3">
        <f t="shared" si="60"/>
        <v>3.1281778200438204E-3</v>
      </c>
      <c r="U102" s="3">
        <f t="shared" si="61"/>
        <v>8.791265411169924E-3</v>
      </c>
      <c r="V102" s="3">
        <f t="shared" si="62"/>
        <v>1.0630320301756591E-2</v>
      </c>
      <c r="W102" s="3">
        <f t="shared" si="63"/>
        <v>-3.0211503341757151E-3</v>
      </c>
      <c r="X102" s="3">
        <f t="shared" si="64"/>
        <v>4.5770815865111558E-3</v>
      </c>
      <c r="AZ102" s="3" t="s">
        <v>107</v>
      </c>
      <c r="BA102" s="3">
        <v>97</v>
      </c>
      <c r="BB102" s="3">
        <f t="shared" si="65"/>
        <v>1.1274157602695289</v>
      </c>
      <c r="BC102" s="3">
        <f t="shared" si="66"/>
        <v>1.1114242577393088</v>
      </c>
      <c r="BD102" s="3">
        <f t="shared" si="67"/>
        <v>1.091202913516977</v>
      </c>
      <c r="BE102" s="3">
        <f t="shared" si="68"/>
        <v>1.025656329729594</v>
      </c>
      <c r="BF102" s="3">
        <f t="shared" si="69"/>
        <v>1.1277433313024041</v>
      </c>
      <c r="BH102" s="3">
        <f t="shared" si="70"/>
        <v>-5.9456857177335593E-3</v>
      </c>
      <c r="BI102" s="3">
        <f t="shared" si="71"/>
        <v>-5.697542168595332E-3</v>
      </c>
      <c r="BJ102" s="3">
        <f t="shared" si="72"/>
        <v>-8.7447757699057049E-3</v>
      </c>
      <c r="BK102" s="3">
        <f t="shared" si="73"/>
        <v>-1.2891436882413971E-2</v>
      </c>
    </row>
    <row r="103" spans="1:63" x14ac:dyDescent="0.2">
      <c r="A103" s="3" t="s">
        <v>110</v>
      </c>
      <c r="B103" s="3">
        <v>82.2</v>
      </c>
      <c r="C103" s="3">
        <v>89.45</v>
      </c>
      <c r="D103" s="3">
        <v>17.218</v>
      </c>
      <c r="E103" s="3">
        <v>69.7</v>
      </c>
      <c r="F103" s="3">
        <v>55.1</v>
      </c>
      <c r="G103" s="3">
        <v>212.6</v>
      </c>
      <c r="H103" s="3">
        <v>43.863999999999997</v>
      </c>
      <c r="I103" s="3">
        <v>137.1</v>
      </c>
      <c r="J103" s="3">
        <v>13.24</v>
      </c>
      <c r="K103" s="3">
        <v>99.15</v>
      </c>
      <c r="L103" s="3">
        <v>30081.550781000002</v>
      </c>
      <c r="N103" s="3">
        <f t="shared" si="54"/>
        <v>-1.2240054894502528E-2</v>
      </c>
      <c r="O103" s="3">
        <f t="shared" si="55"/>
        <v>-1.4072846941982853E-2</v>
      </c>
      <c r="P103" s="3">
        <f t="shared" si="56"/>
        <v>-1.274200417954674E-2</v>
      </c>
      <c r="Q103" s="3">
        <f t="shared" si="57"/>
        <v>-2.3223104611011181E-2</v>
      </c>
      <c r="R103" s="3">
        <f t="shared" si="58"/>
        <v>-7.286006730933714E-3</v>
      </c>
      <c r="S103" s="3">
        <f t="shared" si="59"/>
        <v>-3.1536297118265999E-2</v>
      </c>
      <c r="T103" s="3">
        <f t="shared" si="60"/>
        <v>-2.413536317721654E-2</v>
      </c>
      <c r="U103" s="3">
        <f t="shared" si="61"/>
        <v>-1.9890158479219266E-2</v>
      </c>
      <c r="V103" s="3">
        <f t="shared" si="62"/>
        <v>-3.6927272592218507E-2</v>
      </c>
      <c r="W103" s="3">
        <f t="shared" si="63"/>
        <v>-2.3986860683273825E-2</v>
      </c>
      <c r="X103" s="3">
        <f t="shared" si="64"/>
        <v>-2.9407088149087102E-2</v>
      </c>
      <c r="AZ103" s="3" t="s">
        <v>108</v>
      </c>
      <c r="BA103" s="3">
        <v>98</v>
      </c>
      <c r="BB103" s="3">
        <f t="shared" si="65"/>
        <v>1.120732388787673</v>
      </c>
      <c r="BC103" s="3">
        <f t="shared" si="66"/>
        <v>1.1051098764718468</v>
      </c>
      <c r="BD103" s="3">
        <f t="shared" si="67"/>
        <v>1.0817021901108785</v>
      </c>
      <c r="BE103" s="3">
        <f t="shared" si="68"/>
        <v>1.0125190073127346</v>
      </c>
      <c r="BF103" s="3">
        <f t="shared" si="69"/>
        <v>1.1204357144878192</v>
      </c>
      <c r="BH103" s="3">
        <f t="shared" si="70"/>
        <v>1.8256141185830216E-3</v>
      </c>
      <c r="BI103" s="3">
        <f t="shared" si="71"/>
        <v>1.8707932004509709E-3</v>
      </c>
      <c r="BJ103" s="3">
        <f t="shared" si="72"/>
        <v>1.4819965072871699E-3</v>
      </c>
      <c r="BK103" s="3">
        <f t="shared" si="73"/>
        <v>1.594536174372543E-3</v>
      </c>
    </row>
    <row r="104" spans="1:63" x14ac:dyDescent="0.2">
      <c r="A104" s="3" t="s">
        <v>111</v>
      </c>
      <c r="B104" s="3">
        <v>81.2</v>
      </c>
      <c r="C104" s="3">
        <v>88.2</v>
      </c>
      <c r="D104" s="3">
        <v>17</v>
      </c>
      <c r="E104" s="3">
        <v>68.099999999999994</v>
      </c>
      <c r="F104" s="3">
        <v>54.7</v>
      </c>
      <c r="G104" s="3">
        <v>206</v>
      </c>
      <c r="H104" s="3">
        <v>42.817999999999998</v>
      </c>
      <c r="I104" s="3">
        <v>134.4</v>
      </c>
      <c r="J104" s="3">
        <v>12.76</v>
      </c>
      <c r="K104" s="3">
        <v>96.8</v>
      </c>
      <c r="L104" s="3">
        <v>29209.820313</v>
      </c>
      <c r="N104" s="3">
        <f t="shared" si="54"/>
        <v>4.9140148024289232E-3</v>
      </c>
      <c r="O104" s="3">
        <f t="shared" si="55"/>
        <v>1.6992357529597157E-3</v>
      </c>
      <c r="P104" s="3">
        <f t="shared" si="56"/>
        <v>6.3912967862953529E-3</v>
      </c>
      <c r="Q104" s="3">
        <f t="shared" si="57"/>
        <v>8.7719860728370236E-3</v>
      </c>
      <c r="R104" s="3">
        <f t="shared" si="58"/>
        <v>9.0992438551147359E-3</v>
      </c>
      <c r="S104" s="3">
        <f t="shared" si="59"/>
        <v>0</v>
      </c>
      <c r="T104" s="3">
        <f t="shared" si="60"/>
        <v>1.3708217954853108E-2</v>
      </c>
      <c r="U104" s="3">
        <f t="shared" si="61"/>
        <v>5.1948168771041026E-3</v>
      </c>
      <c r="V104" s="3">
        <f t="shared" si="62"/>
        <v>1.5552413007485111E-2</v>
      </c>
      <c r="W104" s="3">
        <f t="shared" si="63"/>
        <v>2.579315332488008E-3</v>
      </c>
      <c r="X104" s="3">
        <f t="shared" si="64"/>
        <v>5.2310786963900568E-3</v>
      </c>
      <c r="AZ104" s="3" t="s">
        <v>109</v>
      </c>
      <c r="BA104" s="3">
        <v>99</v>
      </c>
      <c r="BB104" s="3">
        <f t="shared" si="65"/>
        <v>1.1227802824227842</v>
      </c>
      <c r="BC104" s="3">
        <f t="shared" si="66"/>
        <v>1.1071792435899259</v>
      </c>
      <c r="BD104" s="3">
        <f t="shared" si="67"/>
        <v>1.0833064574442173</v>
      </c>
      <c r="BE104" s="3">
        <f t="shared" si="68"/>
        <v>1.0141347933694425</v>
      </c>
      <c r="BF104" s="3">
        <f t="shared" si="69"/>
        <v>1.1296812958208757</v>
      </c>
      <c r="BH104" s="3">
        <f t="shared" si="70"/>
        <v>9.5552537629324946E-3</v>
      </c>
      <c r="BI104" s="3">
        <f t="shared" si="71"/>
        <v>9.6093063442800053E-3</v>
      </c>
      <c r="BJ104" s="3">
        <f t="shared" si="72"/>
        <v>5.0534408658807206E-3</v>
      </c>
      <c r="BK104" s="3">
        <f t="shared" si="73"/>
        <v>-3.4292605458478738E-3</v>
      </c>
    </row>
    <row r="105" spans="1:63" x14ac:dyDescent="0.2">
      <c r="A105" s="3" t="s">
        <v>112</v>
      </c>
      <c r="B105" s="3">
        <v>81.599999999999994</v>
      </c>
      <c r="C105" s="3">
        <v>88.35</v>
      </c>
      <c r="D105" s="3">
        <v>17.109000000000002</v>
      </c>
      <c r="E105" s="3">
        <v>68.7</v>
      </c>
      <c r="F105" s="3">
        <v>55.2</v>
      </c>
      <c r="G105" s="3">
        <v>206</v>
      </c>
      <c r="H105" s="3">
        <v>43.408999999999999</v>
      </c>
      <c r="I105" s="3">
        <v>135.1</v>
      </c>
      <c r="J105" s="3">
        <v>12.96</v>
      </c>
      <c r="K105" s="3">
        <v>97.05</v>
      </c>
      <c r="L105" s="3">
        <v>29363.019531000002</v>
      </c>
      <c r="N105" s="3">
        <f t="shared" si="54"/>
        <v>-1.2330612457478018E-2</v>
      </c>
      <c r="O105" s="3">
        <f t="shared" si="55"/>
        <v>-2.2662899218257593E-3</v>
      </c>
      <c r="P105" s="3">
        <f t="shared" si="56"/>
        <v>-6.3912967862953529E-3</v>
      </c>
      <c r="Q105" s="3">
        <f t="shared" si="57"/>
        <v>-1.8362616574538748E-2</v>
      </c>
      <c r="R105" s="3">
        <f t="shared" si="58"/>
        <v>-2.7210901143606137E-3</v>
      </c>
      <c r="S105" s="3">
        <f t="shared" si="59"/>
        <v>2.908387895956821E-3</v>
      </c>
      <c r="T105" s="3">
        <f t="shared" si="60"/>
        <v>-1.263448007713075E-2</v>
      </c>
      <c r="U105" s="3">
        <f t="shared" si="61"/>
        <v>-4.4510459242594891E-3</v>
      </c>
      <c r="V105" s="3">
        <f t="shared" si="62"/>
        <v>-9.3023926623136965E-3</v>
      </c>
      <c r="W105" s="3">
        <f t="shared" si="63"/>
        <v>1.0298662084293753E-3</v>
      </c>
      <c r="X105" s="3">
        <f t="shared" si="64"/>
        <v>-1.2329901720978143E-2</v>
      </c>
      <c r="AZ105" s="3" t="s">
        <v>110</v>
      </c>
      <c r="BA105" s="3">
        <v>100</v>
      </c>
      <c r="BB105" s="3">
        <f t="shared" si="65"/>
        <v>1.1335601531220756</v>
      </c>
      <c r="BC105" s="3">
        <f t="shared" si="66"/>
        <v>1.1178697500330803</v>
      </c>
      <c r="BD105" s="3">
        <f t="shared" si="67"/>
        <v>1.0887947382381271</v>
      </c>
      <c r="BE105" s="3">
        <f t="shared" si="68"/>
        <v>1.0106630171492672</v>
      </c>
      <c r="BF105" s="3">
        <f t="shared" si="69"/>
        <v>1.1348637905816443</v>
      </c>
      <c r="BH105" s="3">
        <f t="shared" si="70"/>
        <v>-2.0999090195338604E-2</v>
      </c>
      <c r="BI105" s="3">
        <f t="shared" si="71"/>
        <v>-1.9420218995508484E-2</v>
      </c>
      <c r="BJ105" s="3">
        <f t="shared" si="72"/>
        <v>-1.1264610687515775E-2</v>
      </c>
      <c r="BK105" s="3">
        <f t="shared" si="73"/>
        <v>4.760334895206414E-3</v>
      </c>
    </row>
    <row r="106" spans="1:63" x14ac:dyDescent="0.2">
      <c r="A106" s="3" t="s">
        <v>113</v>
      </c>
      <c r="B106" s="3">
        <v>80.599999999999994</v>
      </c>
      <c r="C106" s="3">
        <v>88.15</v>
      </c>
      <c r="D106" s="3">
        <v>17</v>
      </c>
      <c r="E106" s="3">
        <v>67.45</v>
      </c>
      <c r="F106" s="3">
        <v>55.05</v>
      </c>
      <c r="G106" s="3">
        <v>206.6</v>
      </c>
      <c r="H106" s="3">
        <v>42.863999999999997</v>
      </c>
      <c r="I106" s="3">
        <v>134.5</v>
      </c>
      <c r="J106" s="3">
        <v>12.84</v>
      </c>
      <c r="K106" s="3">
        <v>97.15</v>
      </c>
      <c r="L106" s="3">
        <v>29003.199218999998</v>
      </c>
      <c r="N106" s="3">
        <f t="shared" si="54"/>
        <v>-1.3112894728787516E-2</v>
      </c>
      <c r="O106" s="3">
        <f t="shared" si="55"/>
        <v>-8.5446261823900471E-3</v>
      </c>
      <c r="P106" s="3">
        <f t="shared" si="56"/>
        <v>-5.3673194999239726E-3</v>
      </c>
      <c r="Q106" s="3">
        <f t="shared" si="57"/>
        <v>-1.4936797494510934E-2</v>
      </c>
      <c r="R106" s="3">
        <f t="shared" si="58"/>
        <v>2.7210901143606137E-3</v>
      </c>
      <c r="S106" s="3">
        <f t="shared" si="59"/>
        <v>-2.2516859284333002E-2</v>
      </c>
      <c r="T106" s="3">
        <f t="shared" si="60"/>
        <v>-7.4699735007324186E-3</v>
      </c>
      <c r="U106" s="3">
        <f t="shared" si="61"/>
        <v>-1.2719961999559715E-2</v>
      </c>
      <c r="V106" s="3">
        <f t="shared" si="62"/>
        <v>-2.5237932589862844E-2</v>
      </c>
      <c r="W106" s="3">
        <f t="shared" si="63"/>
        <v>-9.3072026555551801E-3</v>
      </c>
      <c r="X106" s="3">
        <f t="shared" si="64"/>
        <v>-2.4153236501282649E-2</v>
      </c>
      <c r="AZ106" s="3" t="s">
        <v>111</v>
      </c>
      <c r="BA106" s="3">
        <v>101</v>
      </c>
      <c r="BB106" s="3">
        <f t="shared" si="65"/>
        <v>1.1100046093043052</v>
      </c>
      <c r="BC106" s="3">
        <f t="shared" si="66"/>
        <v>1.0963699161288658</v>
      </c>
      <c r="BD106" s="3">
        <f t="shared" si="67"/>
        <v>1.0765987101116872</v>
      </c>
      <c r="BE106" s="3">
        <f t="shared" si="68"/>
        <v>1.0154855809796191</v>
      </c>
      <c r="BF106" s="3">
        <f t="shared" si="69"/>
        <v>1.1019766781291558</v>
      </c>
      <c r="BH106" s="3">
        <f t="shared" si="70"/>
        <v>6.911311759997249E-3</v>
      </c>
      <c r="BI106" s="3">
        <f t="shared" si="71"/>
        <v>6.6508898915514231E-3</v>
      </c>
      <c r="BJ106" s="3">
        <f t="shared" si="72"/>
        <v>6.6137258078725336E-3</v>
      </c>
      <c r="BK106" s="3">
        <f t="shared" si="73"/>
        <v>6.2030751483544092E-3</v>
      </c>
    </row>
    <row r="107" spans="1:63" x14ac:dyDescent="0.2">
      <c r="A107" s="3" t="s">
        <v>114</v>
      </c>
      <c r="B107" s="3">
        <v>79.55</v>
      </c>
      <c r="C107" s="3">
        <v>87.4</v>
      </c>
      <c r="D107" s="3">
        <v>16.908999999999999</v>
      </c>
      <c r="E107" s="3">
        <v>66.45</v>
      </c>
      <c r="F107" s="3">
        <v>55.2</v>
      </c>
      <c r="G107" s="3">
        <v>202</v>
      </c>
      <c r="H107" s="3">
        <v>42.545000000000002</v>
      </c>
      <c r="I107" s="3">
        <v>132.80000000000001</v>
      </c>
      <c r="J107" s="3">
        <v>12.52</v>
      </c>
      <c r="K107" s="3">
        <v>96.25</v>
      </c>
      <c r="L107" s="3">
        <v>28311.070313</v>
      </c>
      <c r="N107" s="3">
        <f t="shared" si="54"/>
        <v>2.5109868811581393E-3</v>
      </c>
      <c r="O107" s="3">
        <f t="shared" si="55"/>
        <v>1.7147760703712933E-3</v>
      </c>
      <c r="P107" s="3">
        <f t="shared" si="56"/>
        <v>6.4255828710733098E-3</v>
      </c>
      <c r="Q107" s="3">
        <f t="shared" si="57"/>
        <v>6.7491819749285753E-3</v>
      </c>
      <c r="R107" s="3">
        <f t="shared" si="58"/>
        <v>9.9144570571780832E-3</v>
      </c>
      <c r="S107" s="3">
        <f t="shared" si="59"/>
        <v>4.9382816405820762E-3</v>
      </c>
      <c r="T107" s="3">
        <f t="shared" si="60"/>
        <v>1.5902960717386172E-2</v>
      </c>
      <c r="U107" s="3">
        <f t="shared" si="61"/>
        <v>8.9955629085771704E-3</v>
      </c>
      <c r="V107" s="3">
        <f t="shared" si="62"/>
        <v>3.1897953681001567E-3</v>
      </c>
      <c r="W107" s="3">
        <f t="shared" si="63"/>
        <v>3.6297680505787966E-3</v>
      </c>
      <c r="X107" s="3">
        <f t="shared" si="64"/>
        <v>8.4124452703218111E-3</v>
      </c>
      <c r="AZ107" s="3" t="s">
        <v>112</v>
      </c>
      <c r="BA107" s="3">
        <v>102</v>
      </c>
      <c r="BB107" s="3">
        <f t="shared" si="65"/>
        <v>1.1177027687615879</v>
      </c>
      <c r="BC107" s="3">
        <f t="shared" si="66"/>
        <v>1.1036860541670206</v>
      </c>
      <c r="BD107" s="3">
        <f t="shared" si="67"/>
        <v>1.0837426367309924</v>
      </c>
      <c r="BE107" s="3">
        <f t="shared" si="68"/>
        <v>1.0218042918085546</v>
      </c>
      <c r="BF107" s="3">
        <f t="shared" si="69"/>
        <v>1.1077563085251871</v>
      </c>
      <c r="BH107" s="3">
        <f t="shared" si="70"/>
        <v>-6.3617575210027366E-3</v>
      </c>
      <c r="BI107" s="3">
        <f t="shared" si="71"/>
        <v>-6.409193214587966E-3</v>
      </c>
      <c r="BJ107" s="3">
        <f t="shared" si="72"/>
        <v>-3.8238267288146083E-3</v>
      </c>
      <c r="BK107" s="3">
        <f t="shared" si="73"/>
        <v>-2.0027898193812274E-4</v>
      </c>
    </row>
    <row r="108" spans="1:63" x14ac:dyDescent="0.2">
      <c r="A108" s="3" t="s">
        <v>115</v>
      </c>
      <c r="B108" s="3">
        <v>79.75</v>
      </c>
      <c r="C108" s="3">
        <v>87.55</v>
      </c>
      <c r="D108" s="3">
        <v>17.018000000000001</v>
      </c>
      <c r="E108" s="3">
        <v>66.900000000000006</v>
      </c>
      <c r="F108" s="3">
        <v>55.75</v>
      </c>
      <c r="G108" s="3">
        <v>203</v>
      </c>
      <c r="H108" s="3">
        <v>43.226999999999997</v>
      </c>
      <c r="I108" s="3">
        <v>134</v>
      </c>
      <c r="J108" s="3">
        <v>12.56</v>
      </c>
      <c r="K108" s="3">
        <v>96.6</v>
      </c>
      <c r="L108" s="3">
        <v>28550.240234000001</v>
      </c>
      <c r="N108" s="3">
        <f t="shared" si="54"/>
        <v>-1.1983744801120189E-2</v>
      </c>
      <c r="O108" s="3">
        <f t="shared" si="55"/>
        <v>1.1357305496981773E-2</v>
      </c>
      <c r="P108" s="3">
        <f t="shared" si="56"/>
        <v>1.6954990016896154E-2</v>
      </c>
      <c r="Q108" s="3">
        <f t="shared" si="57"/>
        <v>-9.0090699423663878E-3</v>
      </c>
      <c r="R108" s="3">
        <f t="shared" si="58"/>
        <v>1.2477880255443274E-2</v>
      </c>
      <c r="S108" s="3">
        <f t="shared" si="59"/>
        <v>4.9140148024289232E-3</v>
      </c>
      <c r="T108" s="3">
        <f t="shared" si="60"/>
        <v>9.4171977166035425E-3</v>
      </c>
      <c r="U108" s="3">
        <f t="shared" si="61"/>
        <v>-8.242834231711349E-3</v>
      </c>
      <c r="V108" s="3">
        <f t="shared" si="62"/>
        <v>-1.6051709010507675E-2</v>
      </c>
      <c r="W108" s="3">
        <f t="shared" si="63"/>
        <v>-1.0405921161116716E-2</v>
      </c>
      <c r="X108" s="3">
        <f t="shared" si="64"/>
        <v>-1.511246788947318E-2</v>
      </c>
      <c r="AZ108" s="3" t="s">
        <v>113</v>
      </c>
      <c r="BA108" s="3">
        <v>103</v>
      </c>
      <c r="BB108" s="3">
        <f t="shared" si="65"/>
        <v>1.11061478468953</v>
      </c>
      <c r="BC108" s="3">
        <f t="shared" si="66"/>
        <v>1.0966349371203732</v>
      </c>
      <c r="BD108" s="3">
        <f t="shared" si="67"/>
        <v>1.0796065056335806</v>
      </c>
      <c r="BE108" s="3">
        <f t="shared" si="68"/>
        <v>1.0215996663770217</v>
      </c>
      <c r="BF108" s="3">
        <f t="shared" si="69"/>
        <v>1.0941816412423251</v>
      </c>
      <c r="BH108" s="3">
        <f t="shared" si="70"/>
        <v>-1.1798156768652535E-2</v>
      </c>
      <c r="BI108" s="3">
        <f t="shared" si="71"/>
        <v>-1.0581185770220797E-2</v>
      </c>
      <c r="BJ108" s="3">
        <f t="shared" si="72"/>
        <v>-3.7707845183173189E-3</v>
      </c>
      <c r="BK108" s="3">
        <f t="shared" si="73"/>
        <v>9.0130896761520737E-3</v>
      </c>
    </row>
    <row r="109" spans="1:63" x14ac:dyDescent="0.2">
      <c r="A109" s="3" t="s">
        <v>116</v>
      </c>
      <c r="B109" s="3">
        <v>78.8</v>
      </c>
      <c r="C109" s="3">
        <v>88.55</v>
      </c>
      <c r="D109" s="3">
        <v>17.309000000000001</v>
      </c>
      <c r="E109" s="3">
        <v>66.3</v>
      </c>
      <c r="F109" s="3">
        <v>56.45</v>
      </c>
      <c r="G109" s="3">
        <v>204</v>
      </c>
      <c r="H109" s="3">
        <v>43.636000000000003</v>
      </c>
      <c r="I109" s="3">
        <v>132.9</v>
      </c>
      <c r="J109" s="3">
        <v>12.36</v>
      </c>
      <c r="K109" s="3">
        <v>95.6</v>
      </c>
      <c r="L109" s="3">
        <v>28122.019531000002</v>
      </c>
      <c r="N109" s="3">
        <f t="shared" si="54"/>
        <v>-4.4515176847914617E-3</v>
      </c>
      <c r="O109" s="3">
        <f t="shared" si="55"/>
        <v>-7.9365495957359755E-3</v>
      </c>
      <c r="P109" s="3">
        <f t="shared" si="56"/>
        <v>-1.0404625216091645E-3</v>
      </c>
      <c r="Q109" s="3">
        <f t="shared" si="57"/>
        <v>6.0150557297617979E-3</v>
      </c>
      <c r="R109" s="3">
        <f t="shared" si="58"/>
        <v>-6.2194780670203897E-3</v>
      </c>
      <c r="S109" s="3">
        <f t="shared" si="59"/>
        <v>1.9588644853332227E-3</v>
      </c>
      <c r="T109" s="3">
        <f t="shared" si="60"/>
        <v>2.0832625461930654E-3</v>
      </c>
      <c r="U109" s="3">
        <f t="shared" si="61"/>
        <v>-4.5248945982896416E-3</v>
      </c>
      <c r="V109" s="3">
        <f t="shared" si="62"/>
        <v>-4.8661896511728031E-3</v>
      </c>
      <c r="W109" s="3">
        <f t="shared" si="63"/>
        <v>4.1753714104801887E-3</v>
      </c>
      <c r="X109" s="3">
        <f t="shared" si="64"/>
        <v>5.2026897565067287E-3</v>
      </c>
      <c r="AZ109" s="3" t="s">
        <v>114</v>
      </c>
      <c r="BA109" s="3">
        <v>104</v>
      </c>
      <c r="BB109" s="3">
        <f t="shared" si="65"/>
        <v>1.0975885711050963</v>
      </c>
      <c r="BC109" s="3">
        <f t="shared" si="66"/>
        <v>1.0850924136143043</v>
      </c>
      <c r="BD109" s="3">
        <f t="shared" si="67"/>
        <v>1.0755432078610356</v>
      </c>
      <c r="BE109" s="3">
        <f t="shared" si="68"/>
        <v>1.0308490559570378</v>
      </c>
      <c r="BF109" s="3">
        <f t="shared" si="69"/>
        <v>1.068070220340102</v>
      </c>
      <c r="BH109" s="3">
        <f t="shared" si="70"/>
        <v>6.5109212514369436E-3</v>
      </c>
      <c r="BI109" s="3">
        <f t="shared" si="71"/>
        <v>6.5007105801717507E-3</v>
      </c>
      <c r="BJ109" s="3">
        <f t="shared" si="72"/>
        <v>6.7029637699186351E-3</v>
      </c>
      <c r="BK109" s="3">
        <f t="shared" si="73"/>
        <v>6.8302699008239987E-3</v>
      </c>
    </row>
    <row r="110" spans="1:63" x14ac:dyDescent="0.2">
      <c r="A110" s="3" t="s">
        <v>117</v>
      </c>
      <c r="B110" s="3">
        <v>78.45</v>
      </c>
      <c r="C110" s="3">
        <v>87.85</v>
      </c>
      <c r="D110" s="3">
        <v>17.291</v>
      </c>
      <c r="E110" s="3">
        <v>66.7</v>
      </c>
      <c r="F110" s="3">
        <v>56.1</v>
      </c>
      <c r="G110" s="3">
        <v>204.4</v>
      </c>
      <c r="H110" s="3">
        <v>43.726999999999997</v>
      </c>
      <c r="I110" s="3">
        <v>132.30000000000001</v>
      </c>
      <c r="J110" s="3">
        <v>12.3</v>
      </c>
      <c r="K110" s="3">
        <v>96</v>
      </c>
      <c r="L110" s="3">
        <v>28268.710938</v>
      </c>
      <c r="N110" s="3">
        <f t="shared" si="54"/>
        <v>6.3714560932126574E-4</v>
      </c>
      <c r="O110" s="3">
        <f t="shared" si="55"/>
        <v>-1.708915254969412E-3</v>
      </c>
      <c r="P110" s="3">
        <f t="shared" si="56"/>
        <v>4.212962514694496E-3</v>
      </c>
      <c r="Q110" s="3">
        <f t="shared" si="57"/>
        <v>-9.036206063937513E-3</v>
      </c>
      <c r="R110" s="3">
        <f t="shared" si="58"/>
        <v>-2.6773777707163049E-3</v>
      </c>
      <c r="S110" s="3">
        <f t="shared" si="59"/>
        <v>4.8804391649088785E-3</v>
      </c>
      <c r="T110" s="3">
        <f t="shared" si="60"/>
        <v>1.035170603828961E-2</v>
      </c>
      <c r="U110" s="3">
        <f t="shared" si="61"/>
        <v>1.8720127357296334E-2</v>
      </c>
      <c r="V110" s="3">
        <f t="shared" si="62"/>
        <v>2.568359473469517E-2</v>
      </c>
      <c r="W110" s="3">
        <f t="shared" si="63"/>
        <v>1.0411245084105403E-3</v>
      </c>
      <c r="X110" s="3">
        <f t="shared" si="64"/>
        <v>2.2493631964870531E-4</v>
      </c>
      <c r="AZ110" s="3" t="s">
        <v>115</v>
      </c>
      <c r="BA110" s="3">
        <v>105</v>
      </c>
      <c r="BB110" s="3">
        <f t="shared" si="65"/>
        <v>1.1047581989713138</v>
      </c>
      <c r="BC110" s="3">
        <f t="shared" si="66"/>
        <v>1.0921692626999771</v>
      </c>
      <c r="BD110" s="3">
        <f t="shared" si="67"/>
        <v>1.0827767510217734</v>
      </c>
      <c r="BE110" s="3">
        <f t="shared" si="68"/>
        <v>1.0379141339640707</v>
      </c>
      <c r="BF110" s="3">
        <f t="shared" si="69"/>
        <v>1.0770932020711705</v>
      </c>
      <c r="BH110" s="3">
        <f t="shared" si="70"/>
        <v>7.2091987773414967E-5</v>
      </c>
      <c r="BI110" s="3">
        <f t="shared" si="71"/>
        <v>1.665767882081684E-3</v>
      </c>
      <c r="BJ110" s="3">
        <f t="shared" si="72"/>
        <v>1.2113630408995157E-2</v>
      </c>
      <c r="BK110" s="3">
        <f t="shared" si="73"/>
        <v>2.8704152384568506E-2</v>
      </c>
    </row>
    <row r="111" spans="1:63" x14ac:dyDescent="0.2">
      <c r="A111" s="3" t="s">
        <v>118</v>
      </c>
      <c r="B111" s="3">
        <v>78.5</v>
      </c>
      <c r="C111" s="3">
        <v>87.7</v>
      </c>
      <c r="D111" s="3">
        <v>17.364000000000001</v>
      </c>
      <c r="E111" s="3">
        <v>66.099999999999994</v>
      </c>
      <c r="F111" s="3">
        <v>55.95</v>
      </c>
      <c r="G111" s="3">
        <v>205.4</v>
      </c>
      <c r="H111" s="3">
        <v>44.182000000000002</v>
      </c>
      <c r="I111" s="3">
        <v>134.80000000000001</v>
      </c>
      <c r="J111" s="3">
        <v>12.62</v>
      </c>
      <c r="K111" s="3">
        <v>96.1</v>
      </c>
      <c r="L111" s="3">
        <v>28275.070313</v>
      </c>
      <c r="N111" s="3">
        <f t="shared" si="54"/>
        <v>-3.1897953681001567E-3</v>
      </c>
      <c r="O111" s="3">
        <f t="shared" si="55"/>
        <v>-3.4266167166476791E-3</v>
      </c>
      <c r="P111" s="3">
        <f t="shared" si="56"/>
        <v>-7.398877683755245E-3</v>
      </c>
      <c r="Q111" s="3">
        <f t="shared" si="57"/>
        <v>-8.3555366479322046E-3</v>
      </c>
      <c r="R111" s="3">
        <f t="shared" si="58"/>
        <v>-8.9405459688141065E-4</v>
      </c>
      <c r="S111" s="3">
        <f t="shared" si="59"/>
        <v>-2.4643928283748728E-2</v>
      </c>
      <c r="T111" s="3">
        <f t="shared" si="60"/>
        <v>-8.272774453965237E-3</v>
      </c>
      <c r="U111" s="3">
        <f t="shared" si="61"/>
        <v>-5.9523985272953439E-3</v>
      </c>
      <c r="V111" s="3">
        <f t="shared" si="62"/>
        <v>-2.4058899007693313E-2</v>
      </c>
      <c r="W111" s="3">
        <f t="shared" si="63"/>
        <v>-1.6260520871780315E-2</v>
      </c>
      <c r="X111" s="3">
        <f t="shared" si="64"/>
        <v>-1.1689938350885498E-2</v>
      </c>
      <c r="AZ111" s="3" t="s">
        <v>116</v>
      </c>
      <c r="BA111" s="3">
        <v>106</v>
      </c>
      <c r="BB111" s="3">
        <f t="shared" si="65"/>
        <v>1.1048378460568105</v>
      </c>
      <c r="BC111" s="3">
        <f t="shared" si="66"/>
        <v>1.093990079287444</v>
      </c>
      <c r="BD111" s="3">
        <f t="shared" si="67"/>
        <v>1.0959728735081842</v>
      </c>
      <c r="BE111" s="3">
        <f t="shared" si="68"/>
        <v>1.0681382835423878</v>
      </c>
      <c r="BF111" s="3">
        <f t="shared" si="69"/>
        <v>1.0609380452526245</v>
      </c>
      <c r="BH111" s="3">
        <f t="shared" si="70"/>
        <v>-1.4519047770425036E-3</v>
      </c>
      <c r="BI111" s="3">
        <f t="shared" si="71"/>
        <v>-1.5730366751157548E-3</v>
      </c>
      <c r="BJ111" s="3">
        <f t="shared" si="72"/>
        <v>-5.9649989220888211E-3</v>
      </c>
      <c r="BK111" s="3">
        <f t="shared" si="73"/>
        <v>-1.252086876862199E-2</v>
      </c>
    </row>
    <row r="112" spans="1:63" x14ac:dyDescent="0.2">
      <c r="A112" s="3" t="s">
        <v>119</v>
      </c>
      <c r="B112" s="3">
        <v>78.25</v>
      </c>
      <c r="C112" s="3">
        <v>87.4</v>
      </c>
      <c r="D112" s="3">
        <v>17.236000000000001</v>
      </c>
      <c r="E112" s="3">
        <v>65.55</v>
      </c>
      <c r="F112" s="3">
        <v>55.9</v>
      </c>
      <c r="G112" s="3">
        <v>200.4</v>
      </c>
      <c r="H112" s="3">
        <v>43.817999999999998</v>
      </c>
      <c r="I112" s="3">
        <v>134</v>
      </c>
      <c r="J112" s="3">
        <v>12.32</v>
      </c>
      <c r="K112" s="3">
        <v>94.55</v>
      </c>
      <c r="L112" s="3">
        <v>27946.460938</v>
      </c>
      <c r="N112" s="3">
        <f t="shared" si="54"/>
        <v>1.9150979360995635E-3</v>
      </c>
      <c r="O112" s="3">
        <f t="shared" si="55"/>
        <v>2.8202658816085524E-2</v>
      </c>
      <c r="P112" s="3">
        <f t="shared" si="56"/>
        <v>1.7768789281586983E-2</v>
      </c>
      <c r="Q112" s="3">
        <f t="shared" si="57"/>
        <v>-5.3537412771014203E-3</v>
      </c>
      <c r="R112" s="3">
        <f t="shared" si="58"/>
        <v>-3.365483607583597E-2</v>
      </c>
      <c r="S112" s="3">
        <f t="shared" si="59"/>
        <v>9.9305682026011866E-3</v>
      </c>
      <c r="T112" s="3">
        <f t="shared" si="60"/>
        <v>8.272774453965237E-3</v>
      </c>
      <c r="U112" s="3">
        <f t="shared" si="61"/>
        <v>7.4349784875185065E-3</v>
      </c>
      <c r="V112" s="3">
        <f t="shared" si="62"/>
        <v>-3.2520353863776386E-3</v>
      </c>
      <c r="W112" s="3">
        <f t="shared" si="63"/>
        <v>0</v>
      </c>
      <c r="X112" s="3">
        <f t="shared" si="64"/>
        <v>-5.7003549983640767E-3</v>
      </c>
      <c r="AZ112" s="3" t="s">
        <v>117</v>
      </c>
      <c r="BA112" s="3">
        <v>107</v>
      </c>
      <c r="BB112" s="3">
        <f t="shared" si="65"/>
        <v>1.1032348906611509</v>
      </c>
      <c r="BC112" s="3">
        <f t="shared" si="66"/>
        <v>1.0922705455698871</v>
      </c>
      <c r="BD112" s="3">
        <f t="shared" si="67"/>
        <v>1.0894548558099109</v>
      </c>
      <c r="BE112" s="3">
        <f t="shared" si="68"/>
        <v>1.0548476430830087</v>
      </c>
      <c r="BF112" s="3">
        <f t="shared" si="69"/>
        <v>1.0664721604119705</v>
      </c>
      <c r="BH112" s="3">
        <f t="shared" si="70"/>
        <v>5.7974766128572192E-3</v>
      </c>
      <c r="BI112" s="3">
        <f t="shared" si="71"/>
        <v>3.8271912245203543E-3</v>
      </c>
      <c r="BJ112" s="3">
        <f t="shared" si="72"/>
        <v>2.0974601961257083E-3</v>
      </c>
      <c r="BK112" s="3">
        <f t="shared" si="73"/>
        <v>-4.7157572236938977E-3</v>
      </c>
    </row>
    <row r="113" spans="1:63" x14ac:dyDescent="0.2">
      <c r="A113" s="3" t="s">
        <v>120</v>
      </c>
      <c r="B113" s="3">
        <v>78.400000000000006</v>
      </c>
      <c r="C113" s="3">
        <v>89.9</v>
      </c>
      <c r="D113" s="3">
        <v>17.545000000000002</v>
      </c>
      <c r="E113" s="3">
        <v>65.2</v>
      </c>
      <c r="F113" s="3">
        <v>54.05</v>
      </c>
      <c r="G113" s="3">
        <v>202.4</v>
      </c>
      <c r="H113" s="3">
        <v>44.182000000000002</v>
      </c>
      <c r="I113" s="3">
        <v>135</v>
      </c>
      <c r="J113" s="3">
        <v>12.28</v>
      </c>
      <c r="K113" s="3">
        <v>94.55</v>
      </c>
      <c r="L113" s="3">
        <v>27787.609375</v>
      </c>
      <c r="N113" s="3">
        <f t="shared" si="54"/>
        <v>-3.5045766912959131E-2</v>
      </c>
      <c r="O113" s="3">
        <f t="shared" si="55"/>
        <v>6.0992703637294809E-3</v>
      </c>
      <c r="P113" s="3">
        <f t="shared" si="56"/>
        <v>6.2500203451709702E-3</v>
      </c>
      <c r="Q113" s="3">
        <f t="shared" si="57"/>
        <v>-1.534919718083394E-3</v>
      </c>
      <c r="R113" s="3">
        <f t="shared" si="58"/>
        <v>-5.5658770774451582E-3</v>
      </c>
      <c r="S113" s="3">
        <f t="shared" si="59"/>
        <v>-2.9688294938017279E-3</v>
      </c>
      <c r="T113" s="3">
        <f t="shared" si="60"/>
        <v>-6.198155861308674E-3</v>
      </c>
      <c r="U113" s="3">
        <f t="shared" si="61"/>
        <v>-8.1815257413024867E-3</v>
      </c>
      <c r="V113" s="3">
        <f t="shared" si="62"/>
        <v>-6.5359709797854215E-3</v>
      </c>
      <c r="W113" s="3">
        <f t="shared" si="63"/>
        <v>-7.963939092287653E-3</v>
      </c>
      <c r="X113" s="3">
        <f t="shared" si="64"/>
        <v>-4.7026687665230327E-3</v>
      </c>
      <c r="AZ113" s="3" t="s">
        <v>118</v>
      </c>
      <c r="BA113" s="3">
        <v>108</v>
      </c>
      <c r="BB113" s="3">
        <f t="shared" si="65"/>
        <v>1.1096494452869783</v>
      </c>
      <c r="BC113" s="3">
        <f t="shared" si="66"/>
        <v>1.0964588834894085</v>
      </c>
      <c r="BD113" s="3">
        <f t="shared" si="67"/>
        <v>1.091742342122574</v>
      </c>
      <c r="BE113" s="3">
        <f t="shared" si="68"/>
        <v>1.0498849483189334</v>
      </c>
      <c r="BF113" s="3">
        <f t="shared" si="69"/>
        <v>1.0667120757165627</v>
      </c>
      <c r="BH113" s="3">
        <f t="shared" si="70"/>
        <v>-1.0497754529077322E-2</v>
      </c>
      <c r="BI113" s="3">
        <f t="shared" si="71"/>
        <v>-9.3309310718531907E-3</v>
      </c>
      <c r="BJ113" s="3">
        <f t="shared" si="72"/>
        <v>-3.7801241326852891E-3</v>
      </c>
      <c r="BK113" s="3">
        <f t="shared" si="73"/>
        <v>6.7323291195590315E-3</v>
      </c>
    </row>
    <row r="114" spans="1:63" x14ac:dyDescent="0.2">
      <c r="A114" s="3" t="s">
        <v>121</v>
      </c>
      <c r="B114" s="3">
        <v>75.7</v>
      </c>
      <c r="C114" s="3">
        <v>90.45</v>
      </c>
      <c r="D114" s="3">
        <v>17.655000000000001</v>
      </c>
      <c r="E114" s="3">
        <v>65.099999999999994</v>
      </c>
      <c r="F114" s="3">
        <v>53.75</v>
      </c>
      <c r="G114" s="3">
        <v>201.8</v>
      </c>
      <c r="H114" s="3">
        <v>43.908999999999999</v>
      </c>
      <c r="I114" s="3">
        <v>133.9</v>
      </c>
      <c r="J114" s="3">
        <v>12.2</v>
      </c>
      <c r="K114" s="3">
        <v>93.8</v>
      </c>
      <c r="L114" s="3">
        <v>27657.240234000001</v>
      </c>
      <c r="N114" s="3">
        <f t="shared" si="54"/>
        <v>-5.298025637555881E-3</v>
      </c>
      <c r="O114" s="3">
        <f t="shared" si="55"/>
        <v>1.5903817520337427E-2</v>
      </c>
      <c r="P114" s="3">
        <f t="shared" si="56"/>
        <v>1.4284350404252688E-2</v>
      </c>
      <c r="Q114" s="3">
        <f t="shared" si="57"/>
        <v>3.0674870678613075E-3</v>
      </c>
      <c r="R114" s="3">
        <f t="shared" si="58"/>
        <v>9.2980015996646515E-4</v>
      </c>
      <c r="S114" s="3">
        <f t="shared" si="59"/>
        <v>0</v>
      </c>
      <c r="T114" s="3">
        <f t="shared" si="60"/>
        <v>1.8458035655687155E-2</v>
      </c>
      <c r="U114" s="3">
        <f t="shared" si="61"/>
        <v>5.2141645135002079E-3</v>
      </c>
      <c r="V114" s="3">
        <f t="shared" si="62"/>
        <v>0</v>
      </c>
      <c r="W114" s="3">
        <f t="shared" si="63"/>
        <v>8.4926200456534318E-3</v>
      </c>
      <c r="X114" s="3">
        <f t="shared" si="64"/>
        <v>1.7592642559804972E-3</v>
      </c>
      <c r="AZ114" s="3" t="s">
        <v>119</v>
      </c>
      <c r="BA114" s="3">
        <v>109</v>
      </c>
      <c r="BB114" s="3">
        <f t="shared" si="65"/>
        <v>1.0980615476674709</v>
      </c>
      <c r="BC114" s="3">
        <f t="shared" si="66"/>
        <v>1.086275485403029</v>
      </c>
      <c r="BD114" s="3">
        <f t="shared" si="67"/>
        <v>1.0876232108671449</v>
      </c>
      <c r="BE114" s="3">
        <f t="shared" si="68"/>
        <v>1.0569769654386942</v>
      </c>
      <c r="BF114" s="3">
        <f t="shared" si="69"/>
        <v>1.0543148797193167</v>
      </c>
      <c r="BH114" s="3">
        <f t="shared" si="70"/>
        <v>3.4930905854409361E-3</v>
      </c>
      <c r="BI114" s="3">
        <f t="shared" si="71"/>
        <v>2.3504949795369739E-3</v>
      </c>
      <c r="BJ114" s="3">
        <f t="shared" si="72"/>
        <v>-8.3684773642589416E-4</v>
      </c>
      <c r="BK114" s="3">
        <f t="shared" si="73"/>
        <v>-1.0766193338437965E-2</v>
      </c>
    </row>
    <row r="115" spans="1:63" x14ac:dyDescent="0.2">
      <c r="A115" s="3" t="s">
        <v>122</v>
      </c>
      <c r="B115" s="3">
        <v>75.3</v>
      </c>
      <c r="C115" s="3">
        <v>91.9</v>
      </c>
      <c r="D115" s="3">
        <v>17.908999999999999</v>
      </c>
      <c r="E115" s="3">
        <v>65.3</v>
      </c>
      <c r="F115" s="3">
        <v>53.8</v>
      </c>
      <c r="G115" s="3">
        <v>201.8</v>
      </c>
      <c r="H115" s="3">
        <v>44.726999999999997</v>
      </c>
      <c r="I115" s="3">
        <v>134.6</v>
      </c>
      <c r="J115" s="3">
        <v>12.2</v>
      </c>
      <c r="K115" s="3">
        <v>94.6</v>
      </c>
      <c r="L115" s="3">
        <v>27705.939452999999</v>
      </c>
      <c r="N115" s="3">
        <f t="shared" si="54"/>
        <v>-5.9940239402100914E-3</v>
      </c>
      <c r="O115" s="3">
        <f t="shared" si="55"/>
        <v>-9.8415228447921166E-3</v>
      </c>
      <c r="P115" s="3">
        <f t="shared" si="56"/>
        <v>2.008144814968027E-3</v>
      </c>
      <c r="Q115" s="3">
        <f t="shared" si="57"/>
        <v>-7.6599007958222387E-4</v>
      </c>
      <c r="R115" s="3">
        <f t="shared" si="58"/>
        <v>7.4074412778619703E-3</v>
      </c>
      <c r="S115" s="3">
        <f t="shared" si="59"/>
        <v>-4.9677201019351358E-3</v>
      </c>
      <c r="T115" s="3">
        <f t="shared" si="60"/>
        <v>-1.2259879794378481E-2</v>
      </c>
      <c r="U115" s="3">
        <f t="shared" si="61"/>
        <v>-3.7216269229949361E-3</v>
      </c>
      <c r="V115" s="3">
        <f t="shared" si="62"/>
        <v>-1.1541760440171522E-2</v>
      </c>
      <c r="W115" s="3">
        <f t="shared" si="63"/>
        <v>-1.7595761890379258E-2</v>
      </c>
      <c r="X115" s="3">
        <f t="shared" si="64"/>
        <v>-1.5964831929997203E-2</v>
      </c>
      <c r="AZ115" s="3" t="s">
        <v>120</v>
      </c>
      <c r="BA115" s="3">
        <v>110</v>
      </c>
      <c r="BB115" s="3">
        <f t="shared" si="65"/>
        <v>1.1019038830276873</v>
      </c>
      <c r="BC115" s="3">
        <f t="shared" si="66"/>
        <v>1.0888317735721962</v>
      </c>
      <c r="BD115" s="3">
        <f t="shared" si="67"/>
        <v>1.0867134165777874</v>
      </c>
      <c r="BE115" s="3">
        <f t="shared" si="68"/>
        <v>1.0456583854136454</v>
      </c>
      <c r="BF115" s="3">
        <f t="shared" si="69"/>
        <v>1.0483220076018374</v>
      </c>
      <c r="BH115" s="3">
        <f t="shared" si="70"/>
        <v>-5.7383974808343508E-3</v>
      </c>
      <c r="BI115" s="3">
        <f t="shared" si="71"/>
        <v>-5.1322595929223225E-3</v>
      </c>
      <c r="BJ115" s="3">
        <f t="shared" si="72"/>
        <v>-1.8918223718135257E-3</v>
      </c>
      <c r="BK115" s="3">
        <f t="shared" si="73"/>
        <v>2.1419139292359057E-3</v>
      </c>
    </row>
    <row r="116" spans="1:63" x14ac:dyDescent="0.2">
      <c r="A116" s="3" t="s">
        <v>123</v>
      </c>
      <c r="B116" s="3">
        <v>74.849999999999994</v>
      </c>
      <c r="C116" s="3">
        <v>91</v>
      </c>
      <c r="D116" s="3">
        <v>17.945</v>
      </c>
      <c r="E116" s="3">
        <v>65.25</v>
      </c>
      <c r="F116" s="3">
        <v>54.2</v>
      </c>
      <c r="G116" s="3">
        <v>200.8</v>
      </c>
      <c r="H116" s="3">
        <v>44.182000000000002</v>
      </c>
      <c r="I116" s="3">
        <v>134.1</v>
      </c>
      <c r="J116" s="3">
        <v>12.06</v>
      </c>
      <c r="K116" s="3">
        <v>92.95</v>
      </c>
      <c r="L116" s="3">
        <v>27267.130859000001</v>
      </c>
      <c r="N116" s="3">
        <f t="shared" si="54"/>
        <v>-2.0060187268660101E-3</v>
      </c>
      <c r="O116" s="3">
        <f t="shared" si="55"/>
        <v>8.2079804178301075E-3</v>
      </c>
      <c r="P116" s="3">
        <f t="shared" si="56"/>
        <v>2.059732963010763E-3</v>
      </c>
      <c r="Q116" s="3">
        <f t="shared" si="57"/>
        <v>2.296212260350039E-3</v>
      </c>
      <c r="R116" s="3">
        <f t="shared" si="58"/>
        <v>2.7637051216178321E-3</v>
      </c>
      <c r="S116" s="3">
        <f t="shared" si="59"/>
        <v>6.947918768797301E-3</v>
      </c>
      <c r="T116" s="3">
        <f t="shared" si="60"/>
        <v>3.0734487470200911E-3</v>
      </c>
      <c r="U116" s="3">
        <f t="shared" si="61"/>
        <v>3.7216269229949361E-3</v>
      </c>
      <c r="V116" s="3">
        <f t="shared" si="62"/>
        <v>6.6115943323130644E-3</v>
      </c>
      <c r="W116" s="3">
        <f t="shared" si="63"/>
        <v>-6.4760075222043412E-3</v>
      </c>
      <c r="X116" s="3">
        <f t="shared" si="64"/>
        <v>3.1782210449335935E-3</v>
      </c>
      <c r="AZ116" s="3" t="s">
        <v>121</v>
      </c>
      <c r="BA116" s="3">
        <v>111</v>
      </c>
      <c r="BB116" s="3">
        <f t="shared" si="65"/>
        <v>1.0955988283179252</v>
      </c>
      <c r="BC116" s="3">
        <f t="shared" si="66"/>
        <v>1.0832579217191634</v>
      </c>
      <c r="BD116" s="3">
        <f t="shared" si="67"/>
        <v>1.0846594912680629</v>
      </c>
      <c r="BE116" s="3">
        <f t="shared" si="68"/>
        <v>1.0479004960213607</v>
      </c>
      <c r="BF116" s="3">
        <f t="shared" si="69"/>
        <v>1.0434036701594878</v>
      </c>
      <c r="BH116" s="3">
        <f t="shared" si="70"/>
        <v>6.5022800267929559E-3</v>
      </c>
      <c r="BI116" s="3">
        <f t="shared" si="71"/>
        <v>6.4973759347244087E-3</v>
      </c>
      <c r="BJ116" s="3">
        <f t="shared" si="72"/>
        <v>8.202907771286308E-3</v>
      </c>
      <c r="BK116" s="3">
        <f t="shared" si="73"/>
        <v>9.4235728727219831E-3</v>
      </c>
    </row>
    <row r="117" spans="1:63" x14ac:dyDescent="0.2">
      <c r="A117" s="3" t="s">
        <v>124</v>
      </c>
      <c r="B117" s="3">
        <v>74.7</v>
      </c>
      <c r="C117" s="3">
        <v>91.75</v>
      </c>
      <c r="D117" s="3">
        <v>17.981999999999999</v>
      </c>
      <c r="E117" s="3">
        <v>65.400000000000006</v>
      </c>
      <c r="F117" s="3">
        <v>54.35</v>
      </c>
      <c r="G117" s="3">
        <v>202.2</v>
      </c>
      <c r="H117" s="3">
        <v>44.317999999999998</v>
      </c>
      <c r="I117" s="3">
        <v>134.6</v>
      </c>
      <c r="J117" s="3">
        <v>12.14</v>
      </c>
      <c r="K117" s="3">
        <v>92.35</v>
      </c>
      <c r="L117" s="3">
        <v>27353.929688</v>
      </c>
      <c r="N117" s="3">
        <f t="shared" si="54"/>
        <v>-8.7395514249637429E-3</v>
      </c>
      <c r="O117" s="3">
        <f t="shared" si="55"/>
        <v>1.0300985637129223E-2</v>
      </c>
      <c r="P117" s="3">
        <f t="shared" si="56"/>
        <v>-7.0876765161695943E-3</v>
      </c>
      <c r="Q117" s="3">
        <f t="shared" si="57"/>
        <v>7.6423389275603881E-4</v>
      </c>
      <c r="R117" s="3">
        <f t="shared" si="58"/>
        <v>-1.8416211466494303E-3</v>
      </c>
      <c r="S117" s="3">
        <f t="shared" si="59"/>
        <v>-7.9444310585357059E-3</v>
      </c>
      <c r="T117" s="3">
        <f t="shared" si="60"/>
        <v>3.0865265060890934E-3</v>
      </c>
      <c r="U117" s="3">
        <f t="shared" si="61"/>
        <v>5.1871179661153732E-3</v>
      </c>
      <c r="V117" s="3">
        <f t="shared" si="62"/>
        <v>-6.6115943323130644E-3</v>
      </c>
      <c r="W117" s="3">
        <f t="shared" si="63"/>
        <v>-3.7971295962080376E-3</v>
      </c>
      <c r="X117" s="3">
        <f t="shared" si="64"/>
        <v>-2.4098624621604614E-3</v>
      </c>
      <c r="AZ117" s="3" t="s">
        <v>122</v>
      </c>
      <c r="BA117" s="3">
        <v>112</v>
      </c>
      <c r="BB117" s="3">
        <f t="shared" si="65"/>
        <v>1.1027459297427047</v>
      </c>
      <c r="BC117" s="3">
        <f t="shared" si="66"/>
        <v>1.0903191706237982</v>
      </c>
      <c r="BD117" s="3">
        <f t="shared" si="67"/>
        <v>1.0935934451426434</v>
      </c>
      <c r="BE117" s="3">
        <f t="shared" si="68"/>
        <v>1.0578221379436936</v>
      </c>
      <c r="BF117" s="3">
        <f t="shared" si="69"/>
        <v>1.0452409085610268</v>
      </c>
      <c r="BH117" s="3">
        <f t="shared" si="70"/>
        <v>-5.8155193265066046E-3</v>
      </c>
      <c r="BI117" s="3">
        <f t="shared" si="71"/>
        <v>-4.5704276704452429E-3</v>
      </c>
      <c r="BJ117" s="3">
        <f t="shared" si="72"/>
        <v>2.5123847890373696E-4</v>
      </c>
      <c r="BK117" s="3">
        <f t="shared" si="73"/>
        <v>9.5341475029608533E-3</v>
      </c>
    </row>
    <row r="118" spans="1:63" x14ac:dyDescent="0.2">
      <c r="A118" s="3" t="s">
        <v>125</v>
      </c>
      <c r="B118" s="3">
        <v>74.05</v>
      </c>
      <c r="C118" s="3">
        <v>92.7</v>
      </c>
      <c r="D118" s="3">
        <v>17.855</v>
      </c>
      <c r="E118" s="3">
        <v>65.45</v>
      </c>
      <c r="F118" s="3">
        <v>54.25</v>
      </c>
      <c r="G118" s="3">
        <v>200.6</v>
      </c>
      <c r="H118" s="3">
        <v>44.454999999999998</v>
      </c>
      <c r="I118" s="3">
        <v>135.30000000000001</v>
      </c>
      <c r="J118" s="3">
        <v>12.06</v>
      </c>
      <c r="K118" s="3">
        <v>92</v>
      </c>
      <c r="L118" s="3">
        <v>27288.089843999998</v>
      </c>
      <c r="N118" s="3">
        <f t="shared" si="54"/>
        <v>1.141334980936648E-2</v>
      </c>
      <c r="O118" s="3">
        <f t="shared" si="55"/>
        <v>-1.9608471388376181E-2</v>
      </c>
      <c r="P118" s="3">
        <f t="shared" si="56"/>
        <v>-2.6848393031142948E-2</v>
      </c>
      <c r="Q118" s="3">
        <f t="shared" si="57"/>
        <v>0</v>
      </c>
      <c r="R118" s="3">
        <f t="shared" si="58"/>
        <v>0</v>
      </c>
      <c r="S118" s="3">
        <f t="shared" si="59"/>
        <v>-1.9960086467154525E-3</v>
      </c>
      <c r="T118" s="3">
        <f t="shared" si="60"/>
        <v>5.0932943834611777E-3</v>
      </c>
      <c r="U118" s="3">
        <f t="shared" si="61"/>
        <v>-9.654735225831601E-3</v>
      </c>
      <c r="V118" s="3">
        <f t="shared" si="62"/>
        <v>4.9627893421289038E-3</v>
      </c>
      <c r="W118" s="3">
        <f t="shared" si="63"/>
        <v>1.5637956852531332E-2</v>
      </c>
      <c r="X118" s="3">
        <f t="shared" si="64"/>
        <v>3.7572380975632313E-3</v>
      </c>
      <c r="AZ118" s="3" t="s">
        <v>123</v>
      </c>
      <c r="BA118" s="3">
        <v>113</v>
      </c>
      <c r="BB118" s="3">
        <f t="shared" si="65"/>
        <v>1.0963515009599065</v>
      </c>
      <c r="BC118" s="3">
        <f t="shared" si="66"/>
        <v>1.0853473161221299</v>
      </c>
      <c r="BD118" s="3">
        <f t="shared" si="67"/>
        <v>1.0938682324134628</v>
      </c>
      <c r="BE118" s="3">
        <f t="shared" si="68"/>
        <v>1.0679558013974451</v>
      </c>
      <c r="BF118" s="3">
        <f t="shared" si="69"/>
        <v>1.0286863104303621</v>
      </c>
      <c r="BH118" s="3">
        <f t="shared" si="70"/>
        <v>2.8362471856217819E-3</v>
      </c>
      <c r="BI118" s="3">
        <f t="shared" si="71"/>
        <v>2.8317247204799473E-3</v>
      </c>
      <c r="BJ118" s="3">
        <f t="shared" si="72"/>
        <v>4.1861254874984433E-3</v>
      </c>
      <c r="BK118" s="3">
        <f t="shared" si="73"/>
        <v>5.474606824736078E-3</v>
      </c>
    </row>
    <row r="119" spans="1:63" x14ac:dyDescent="0.2">
      <c r="A119" s="3" t="s">
        <v>126</v>
      </c>
      <c r="B119" s="3">
        <v>74.900000000000006</v>
      </c>
      <c r="C119" s="3">
        <v>90.9</v>
      </c>
      <c r="D119" s="3">
        <v>17.382000000000001</v>
      </c>
      <c r="E119" s="3">
        <v>65.45</v>
      </c>
      <c r="F119" s="3">
        <v>54.25</v>
      </c>
      <c r="G119" s="3">
        <v>200.2</v>
      </c>
      <c r="H119" s="3">
        <v>44.682000000000002</v>
      </c>
      <c r="I119" s="3">
        <v>134</v>
      </c>
      <c r="J119" s="3">
        <v>12.12</v>
      </c>
      <c r="K119" s="3">
        <v>93.45</v>
      </c>
      <c r="L119" s="3">
        <v>27390.810547000001</v>
      </c>
      <c r="N119" s="3">
        <f t="shared" si="54"/>
        <v>-8.0429387994609414E-3</v>
      </c>
      <c r="O119" s="3">
        <f t="shared" si="55"/>
        <v>5.499037806986351E-4</v>
      </c>
      <c r="P119" s="3">
        <f t="shared" si="56"/>
        <v>1.1440463413718405E-2</v>
      </c>
      <c r="Q119" s="3">
        <f t="shared" si="57"/>
        <v>-9.2095815934563063E-3</v>
      </c>
      <c r="R119" s="3">
        <f t="shared" si="58"/>
        <v>1.8416211466494303E-3</v>
      </c>
      <c r="S119" s="3">
        <f t="shared" si="59"/>
        <v>-2.5006264593505634E-3</v>
      </c>
      <c r="T119" s="3">
        <f t="shared" si="60"/>
        <v>-5.0932943834611777E-3</v>
      </c>
      <c r="U119" s="3">
        <f t="shared" si="61"/>
        <v>-2.4935179320735301E-2</v>
      </c>
      <c r="V119" s="3">
        <f t="shared" si="62"/>
        <v>-4.9627893421289038E-3</v>
      </c>
      <c r="W119" s="3">
        <f t="shared" si="63"/>
        <v>-1.2924250980935525E-2</v>
      </c>
      <c r="X119" s="3">
        <f t="shared" si="64"/>
        <v>-5.6785613128091939E-3</v>
      </c>
      <c r="AZ119" s="3" t="s">
        <v>124</v>
      </c>
      <c r="BA119" s="3">
        <v>114</v>
      </c>
      <c r="BB119" s="3">
        <f t="shared" si="65"/>
        <v>1.0994654386800504</v>
      </c>
      <c r="BC119" s="3">
        <f t="shared" si="66"/>
        <v>1.0884250765760528</v>
      </c>
      <c r="BD119" s="3">
        <f t="shared" si="67"/>
        <v>1.0984568997689721</v>
      </c>
      <c r="BE119" s="3">
        <f t="shared" si="68"/>
        <v>1.0738184727840248</v>
      </c>
      <c r="BF119" s="3">
        <f t="shared" si="69"/>
        <v>1.0319609038452471</v>
      </c>
      <c r="BH119" s="3">
        <f t="shared" si="70"/>
        <v>-1.5845439903883485E-3</v>
      </c>
      <c r="BI119" s="3">
        <f t="shared" si="71"/>
        <v>-1.5116400659417883E-3</v>
      </c>
      <c r="BJ119" s="3">
        <f t="shared" si="72"/>
        <v>-6.0927273200567234E-4</v>
      </c>
      <c r="BK119" s="3">
        <f t="shared" si="73"/>
        <v>3.3876457640651114E-4</v>
      </c>
    </row>
    <row r="120" spans="1:63" x14ac:dyDescent="0.2">
      <c r="A120" s="3" t="s">
        <v>127</v>
      </c>
      <c r="B120" s="3">
        <v>74.3</v>
      </c>
      <c r="C120" s="3">
        <v>90.95</v>
      </c>
      <c r="D120" s="3">
        <v>17.582000000000001</v>
      </c>
      <c r="E120" s="3">
        <v>64.849999999999994</v>
      </c>
      <c r="F120" s="3">
        <v>54.35</v>
      </c>
      <c r="G120" s="3">
        <v>199.7</v>
      </c>
      <c r="H120" s="3">
        <v>44.454999999999998</v>
      </c>
      <c r="I120" s="3">
        <v>130.69999999999999</v>
      </c>
      <c r="J120" s="3">
        <v>12.06</v>
      </c>
      <c r="K120" s="3">
        <v>92.25</v>
      </c>
      <c r="L120" s="3">
        <v>27235.710938</v>
      </c>
      <c r="N120" s="3">
        <f t="shared" si="54"/>
        <v>-1.7651510575322327E-2</v>
      </c>
      <c r="O120" s="3">
        <f t="shared" si="55"/>
        <v>-9.389740349839748E-3</v>
      </c>
      <c r="P120" s="3">
        <f t="shared" si="56"/>
        <v>-2.8967463068563237E-2</v>
      </c>
      <c r="Q120" s="3">
        <f t="shared" si="57"/>
        <v>-5.4116869607261364E-3</v>
      </c>
      <c r="R120" s="3">
        <f t="shared" si="58"/>
        <v>-3.6866401202186871E-3</v>
      </c>
      <c r="S120" s="3">
        <f t="shared" si="59"/>
        <v>-2.5068952712716808E-3</v>
      </c>
      <c r="T120" s="3">
        <f t="shared" si="60"/>
        <v>-5.6807823289733772E-2</v>
      </c>
      <c r="U120" s="3">
        <f t="shared" si="61"/>
        <v>-7.6805293077777392E-3</v>
      </c>
      <c r="V120" s="3">
        <f t="shared" si="62"/>
        <v>-1.8410561843179796E-2</v>
      </c>
      <c r="W120" s="3">
        <f t="shared" si="63"/>
        <v>5.944356871518508E-3</v>
      </c>
      <c r="X120" s="3">
        <f t="shared" si="64"/>
        <v>-4.4463279633504271E-3</v>
      </c>
      <c r="AZ120" s="3" t="s">
        <v>125</v>
      </c>
      <c r="BA120" s="3">
        <v>115</v>
      </c>
      <c r="BB120" s="3">
        <f t="shared" si="65"/>
        <v>1.0977246668555414</v>
      </c>
      <c r="BC120" s="3">
        <f t="shared" si="66"/>
        <v>1.086781012551115</v>
      </c>
      <c r="BD120" s="3">
        <f t="shared" si="67"/>
        <v>1.0977878437721438</v>
      </c>
      <c r="BE120" s="3">
        <f t="shared" si="68"/>
        <v>1.0741823060675295</v>
      </c>
      <c r="BF120" s="3">
        <f t="shared" si="69"/>
        <v>1.029477014119045</v>
      </c>
      <c r="BH120" s="3">
        <f t="shared" si="70"/>
        <v>-2.6131379001362309E-3</v>
      </c>
      <c r="BI120" s="3">
        <f t="shared" si="71"/>
        <v>-3.7011457436169209E-3</v>
      </c>
      <c r="BJ120" s="3">
        <f t="shared" si="72"/>
        <v>-1.2033158895024224E-2</v>
      </c>
      <c r="BK120" s="3">
        <f t="shared" si="73"/>
        <v>-2.3551572962560628E-2</v>
      </c>
    </row>
    <row r="121" spans="1:63" x14ac:dyDescent="0.2">
      <c r="A121" s="3" t="s">
        <v>128</v>
      </c>
      <c r="B121" s="3">
        <v>73</v>
      </c>
      <c r="C121" s="3">
        <v>90.1</v>
      </c>
      <c r="D121" s="3">
        <v>17.079999999999998</v>
      </c>
      <c r="E121" s="3">
        <v>64.5</v>
      </c>
      <c r="F121" s="3">
        <v>54.15</v>
      </c>
      <c r="G121" s="3">
        <v>199.2</v>
      </c>
      <c r="H121" s="3">
        <v>42</v>
      </c>
      <c r="I121" s="3">
        <v>129.69999999999999</v>
      </c>
      <c r="J121" s="3">
        <v>11.84</v>
      </c>
      <c r="K121" s="3">
        <v>92.8</v>
      </c>
      <c r="L121" s="3">
        <v>27114.880859000001</v>
      </c>
      <c r="N121" s="3">
        <f t="shared" si="54"/>
        <v>1.4281099565416788E-2</v>
      </c>
      <c r="O121" s="3">
        <f t="shared" si="55"/>
        <v>-1.6224132094074584E-2</v>
      </c>
      <c r="P121" s="3">
        <f t="shared" si="56"/>
        <v>1.3953714773865311E-2</v>
      </c>
      <c r="Q121" s="3">
        <f t="shared" si="57"/>
        <v>-7.0011954589830339E-3</v>
      </c>
      <c r="R121" s="3">
        <f t="shared" si="58"/>
        <v>9.2293499860085504E-4</v>
      </c>
      <c r="S121" s="3">
        <f t="shared" si="59"/>
        <v>-1.3646913841181885E-2</v>
      </c>
      <c r="T121" s="3">
        <f t="shared" si="60"/>
        <v>-3.6367644170875124E-2</v>
      </c>
      <c r="U121" s="3">
        <f t="shared" si="61"/>
        <v>-4.4136399111836866E-2</v>
      </c>
      <c r="V121" s="3">
        <f t="shared" si="62"/>
        <v>-2.3932766211628209E-2</v>
      </c>
      <c r="W121" s="3">
        <f t="shared" si="63"/>
        <v>0</v>
      </c>
      <c r="X121" s="3">
        <f t="shared" si="64"/>
        <v>-7.9158859346257771E-3</v>
      </c>
      <c r="AZ121" s="3" t="s">
        <v>126</v>
      </c>
      <c r="BA121" s="3">
        <v>116</v>
      </c>
      <c r="BB121" s="3">
        <f t="shared" si="65"/>
        <v>1.0948599055629868</v>
      </c>
      <c r="BC121" s="3">
        <f t="shared" si="66"/>
        <v>1.0827661120813286</v>
      </c>
      <c r="BD121" s="3">
        <f t="shared" si="67"/>
        <v>1.0846571485261187</v>
      </c>
      <c r="BE121" s="3">
        <f t="shared" si="68"/>
        <v>1.0491792099410997</v>
      </c>
      <c r="BF121" s="3">
        <f t="shared" si="69"/>
        <v>1.0333522799664236</v>
      </c>
      <c r="BH121" s="3">
        <f t="shared" si="70"/>
        <v>-5.315939704114106E-3</v>
      </c>
      <c r="BI121" s="3">
        <f t="shared" si="71"/>
        <v>-4.0377842778519246E-3</v>
      </c>
      <c r="BJ121" s="3">
        <f t="shared" si="72"/>
        <v>3.3985172122529689E-3</v>
      </c>
      <c r="BK121" s="3">
        <f t="shared" si="73"/>
        <v>1.5700828960185771E-2</v>
      </c>
    </row>
    <row r="122" spans="1:63" x14ac:dyDescent="0.2">
      <c r="A122" s="3" t="s">
        <v>129</v>
      </c>
      <c r="B122" s="3">
        <v>74.05</v>
      </c>
      <c r="C122" s="3">
        <v>88.65</v>
      </c>
      <c r="D122" s="3">
        <v>17.32</v>
      </c>
      <c r="E122" s="3">
        <v>64.05</v>
      </c>
      <c r="F122" s="3">
        <v>54.2</v>
      </c>
      <c r="G122" s="3">
        <v>196.5</v>
      </c>
      <c r="H122" s="3">
        <v>40.5</v>
      </c>
      <c r="I122" s="3">
        <v>124.1</v>
      </c>
      <c r="J122" s="3">
        <v>11.56</v>
      </c>
      <c r="K122" s="3">
        <v>92.8</v>
      </c>
      <c r="L122" s="3">
        <v>26901.089843999998</v>
      </c>
      <c r="N122" s="3">
        <f t="shared" si="54"/>
        <v>1.2747572822502384E-2</v>
      </c>
      <c r="O122" s="3">
        <f t="shared" si="55"/>
        <v>-2.8240628766189602E-3</v>
      </c>
      <c r="P122" s="3">
        <f t="shared" si="56"/>
        <v>-1.7472779989061049E-2</v>
      </c>
      <c r="Q122" s="3">
        <f t="shared" si="57"/>
        <v>-1.1778699192612763E-2</v>
      </c>
      <c r="R122" s="3">
        <f t="shared" si="58"/>
        <v>2.7637051216178321E-3</v>
      </c>
      <c r="S122" s="3">
        <f t="shared" si="59"/>
        <v>-5.6136917006330833E-3</v>
      </c>
      <c r="T122" s="3">
        <f t="shared" si="60"/>
        <v>-3.7105793965355183E-3</v>
      </c>
      <c r="U122" s="3">
        <f t="shared" si="61"/>
        <v>-4.0371471869704578E-3</v>
      </c>
      <c r="V122" s="3">
        <f t="shared" si="62"/>
        <v>5.1768881795339894E-3</v>
      </c>
      <c r="W122" s="3">
        <f t="shared" si="63"/>
        <v>2.1528533611014922E-3</v>
      </c>
      <c r="X122" s="3">
        <f t="shared" si="64"/>
        <v>-2.6881590738625505E-4</v>
      </c>
      <c r="AZ122" s="3" t="s">
        <v>127</v>
      </c>
      <c r="BA122" s="3">
        <v>117</v>
      </c>
      <c r="BB122" s="3">
        <f t="shared" si="65"/>
        <v>1.089055138885229</v>
      </c>
      <c r="BC122" s="3">
        <f t="shared" si="66"/>
        <v>1.0784029507774049</v>
      </c>
      <c r="BD122" s="3">
        <f t="shared" si="67"/>
        <v>1.0883496454679817</v>
      </c>
      <c r="BE122" s="3">
        <f t="shared" si="68"/>
        <v>1.0657821924858391</v>
      </c>
      <c r="BF122" s="3">
        <f t="shared" si="69"/>
        <v>1.0275009549643015</v>
      </c>
      <c r="BH122" s="3">
        <f t="shared" si="70"/>
        <v>-1.5100404751609134E-2</v>
      </c>
      <c r="BI122" s="3">
        <f t="shared" si="71"/>
        <v>-1.415817370072326E-2</v>
      </c>
      <c r="BJ122" s="3">
        <f t="shared" si="72"/>
        <v>-1.5411504193743555E-2</v>
      </c>
      <c r="BK122" s="3">
        <f t="shared" si="73"/>
        <v>-1.3642909639964215E-2</v>
      </c>
    </row>
    <row r="123" spans="1:63" x14ac:dyDescent="0.2">
      <c r="A123" s="3" t="s">
        <v>130</v>
      </c>
      <c r="B123" s="3">
        <v>75</v>
      </c>
      <c r="C123" s="3">
        <v>88.4</v>
      </c>
      <c r="D123" s="3">
        <v>17.02</v>
      </c>
      <c r="E123" s="3">
        <v>63.3</v>
      </c>
      <c r="F123" s="3">
        <v>54.35</v>
      </c>
      <c r="G123" s="3">
        <v>195.4</v>
      </c>
      <c r="H123" s="3">
        <v>40.35</v>
      </c>
      <c r="I123" s="3">
        <v>123.6</v>
      </c>
      <c r="J123" s="3">
        <v>11.62</v>
      </c>
      <c r="K123" s="3">
        <v>93</v>
      </c>
      <c r="L123" s="3">
        <v>26893.859375</v>
      </c>
      <c r="N123" s="3">
        <f t="shared" si="54"/>
        <v>2.6631174194839957E-3</v>
      </c>
      <c r="O123" s="3">
        <f t="shared" si="55"/>
        <v>2.8240628766189602E-3</v>
      </c>
      <c r="P123" s="3">
        <f t="shared" si="56"/>
        <v>-1.1757790890118969E-3</v>
      </c>
      <c r="Q123" s="3">
        <f t="shared" si="57"/>
        <v>6.2992334279865503E-3</v>
      </c>
      <c r="R123" s="3">
        <f t="shared" si="58"/>
        <v>0</v>
      </c>
      <c r="S123" s="3">
        <f t="shared" si="59"/>
        <v>-1.5364919796168053E-3</v>
      </c>
      <c r="T123" s="3">
        <f t="shared" si="60"/>
        <v>8.6366977325917915E-3</v>
      </c>
      <c r="U123" s="3">
        <f t="shared" si="61"/>
        <v>-8.0938895555870971E-4</v>
      </c>
      <c r="V123" s="3">
        <f t="shared" si="62"/>
        <v>6.8610903799450895E-3</v>
      </c>
      <c r="W123" s="3">
        <f t="shared" si="63"/>
        <v>1.5471100794262505E-2</v>
      </c>
      <c r="X123" s="3">
        <f t="shared" si="64"/>
        <v>-4.9329672089992727E-3</v>
      </c>
      <c r="AZ123" s="3" t="s">
        <v>128</v>
      </c>
      <c r="BA123" s="3">
        <v>118</v>
      </c>
      <c r="BB123" s="3">
        <f t="shared" si="65"/>
        <v>1.0727335072532167</v>
      </c>
      <c r="BC123" s="3">
        <f t="shared" si="66"/>
        <v>1.0632423112150042</v>
      </c>
      <c r="BD123" s="3">
        <f t="shared" si="67"/>
        <v>1.0717051283070966</v>
      </c>
      <c r="BE123" s="3">
        <f t="shared" si="68"/>
        <v>1.0513405592861178</v>
      </c>
      <c r="BF123" s="3">
        <f t="shared" si="69"/>
        <v>1.0229424904599773</v>
      </c>
      <c r="BH123" s="3">
        <f t="shared" si="70"/>
        <v>-1.1802348094543967E-2</v>
      </c>
      <c r="BI123" s="3">
        <f t="shared" si="71"/>
        <v>-8.9886387980591606E-3</v>
      </c>
      <c r="BJ123" s="3">
        <f t="shared" si="72"/>
        <v>-1.8005145816160362E-3</v>
      </c>
      <c r="BK123" s="3">
        <f t="shared" si="73"/>
        <v>1.4893944407577589E-2</v>
      </c>
    </row>
    <row r="124" spans="1:63" x14ac:dyDescent="0.2">
      <c r="A124" s="3" t="s">
        <v>131</v>
      </c>
      <c r="B124" s="3">
        <v>75.2</v>
      </c>
      <c r="C124" s="3">
        <v>88.65</v>
      </c>
      <c r="D124" s="3">
        <v>17</v>
      </c>
      <c r="E124" s="3">
        <v>63.7</v>
      </c>
      <c r="F124" s="3">
        <v>54.35</v>
      </c>
      <c r="G124" s="3">
        <v>195.1</v>
      </c>
      <c r="H124" s="3">
        <v>40.700000000000003</v>
      </c>
      <c r="I124" s="3">
        <v>123.5</v>
      </c>
      <c r="J124" s="3">
        <v>11.7</v>
      </c>
      <c r="K124" s="3">
        <v>94.45</v>
      </c>
      <c r="L124" s="3">
        <v>26761.519531000002</v>
      </c>
      <c r="N124" s="3">
        <f t="shared" si="54"/>
        <v>2.6560440581162581E-3</v>
      </c>
      <c r="O124" s="3">
        <f t="shared" si="55"/>
        <v>-3.9559249103024996E-3</v>
      </c>
      <c r="P124" s="3">
        <f t="shared" si="56"/>
        <v>-8.2693914825067161E-3</v>
      </c>
      <c r="Q124" s="3">
        <f t="shared" si="57"/>
        <v>8.5971611972119888E-3</v>
      </c>
      <c r="R124" s="3">
        <f t="shared" si="58"/>
        <v>3.6730987118613889E-3</v>
      </c>
      <c r="S124" s="3">
        <f t="shared" si="59"/>
        <v>-6.1696853804598106E-3</v>
      </c>
      <c r="T124" s="3">
        <f t="shared" si="60"/>
        <v>1.5844329021150738E-2</v>
      </c>
      <c r="U124" s="3">
        <f t="shared" si="61"/>
        <v>4.8465361425291675E-3</v>
      </c>
      <c r="V124" s="3">
        <f t="shared" si="62"/>
        <v>5.1151006667704557E-3</v>
      </c>
      <c r="W124" s="3">
        <f t="shared" si="63"/>
        <v>1.2625101938743555E-2</v>
      </c>
      <c r="X124" s="3">
        <f t="shared" si="64"/>
        <v>4.9917178540113127E-3</v>
      </c>
      <c r="AZ124" s="3" t="s">
        <v>129</v>
      </c>
      <c r="BA124" s="3">
        <v>119</v>
      </c>
      <c r="BB124" s="3">
        <f t="shared" si="65"/>
        <v>1.0601471533543601</v>
      </c>
      <c r="BC124" s="3">
        <f t="shared" si="66"/>
        <v>1.0537280343828577</v>
      </c>
      <c r="BD124" s="3">
        <f t="shared" si="67"/>
        <v>1.0697772437093784</v>
      </c>
      <c r="BE124" s="3">
        <f t="shared" si="68"/>
        <v>1.0671163574327021</v>
      </c>
      <c r="BF124" s="3">
        <f t="shared" si="69"/>
        <v>1.0148769594159976</v>
      </c>
      <c r="BH124" s="3">
        <f t="shared" si="70"/>
        <v>-2.5730189266573861E-3</v>
      </c>
      <c r="BI124" s="3">
        <f t="shared" si="71"/>
        <v>-3.0834357819377878E-3</v>
      </c>
      <c r="BJ124" s="3">
        <f t="shared" si="72"/>
        <v>-2.6960772063037292E-3</v>
      </c>
      <c r="BK124" s="3">
        <f t="shared" si="73"/>
        <v>-1.6382462156984551E-3</v>
      </c>
    </row>
    <row r="125" spans="1:63" x14ac:dyDescent="0.2">
      <c r="A125" s="3" t="s">
        <v>132</v>
      </c>
      <c r="B125" s="3">
        <v>75.400000000000006</v>
      </c>
      <c r="C125" s="3">
        <v>88.3</v>
      </c>
      <c r="D125" s="3">
        <v>16.86</v>
      </c>
      <c r="E125" s="3">
        <v>64.25</v>
      </c>
      <c r="F125" s="3">
        <v>54.55</v>
      </c>
      <c r="G125" s="3">
        <v>193.9</v>
      </c>
      <c r="H125" s="3">
        <v>41.35</v>
      </c>
      <c r="I125" s="3">
        <v>124.1</v>
      </c>
      <c r="J125" s="3">
        <v>11.76</v>
      </c>
      <c r="K125" s="3">
        <v>95.65</v>
      </c>
      <c r="L125" s="3">
        <v>26895.439452999999</v>
      </c>
      <c r="N125" s="3">
        <f t="shared" si="54"/>
        <v>5.9504307806310663E-3</v>
      </c>
      <c r="O125" s="3">
        <f t="shared" si="55"/>
        <v>4.5197817056195078E-3</v>
      </c>
      <c r="P125" s="3">
        <f t="shared" si="56"/>
        <v>3.5524016043679829E-3</v>
      </c>
      <c r="Q125" s="3">
        <f t="shared" si="57"/>
        <v>7.7790746824479839E-4</v>
      </c>
      <c r="R125" s="3">
        <f t="shared" si="58"/>
        <v>1.0032003879789197E-2</v>
      </c>
      <c r="S125" s="3">
        <f t="shared" si="59"/>
        <v>6.1696853804598106E-3</v>
      </c>
      <c r="T125" s="3">
        <f t="shared" si="60"/>
        <v>-1.7073585475880559E-2</v>
      </c>
      <c r="U125" s="3">
        <f t="shared" si="61"/>
        <v>1.8363789502195971E-2</v>
      </c>
      <c r="V125" s="3">
        <f t="shared" si="62"/>
        <v>8.4674510990985219E-3</v>
      </c>
      <c r="W125" s="3">
        <f t="shared" si="63"/>
        <v>5.2137761485262502E-3</v>
      </c>
      <c r="X125" s="3">
        <f t="shared" si="64"/>
        <v>2.5933513240445905E-3</v>
      </c>
      <c r="AZ125" s="3" t="s">
        <v>130</v>
      </c>
      <c r="BA125" s="3">
        <v>120</v>
      </c>
      <c r="BB125" s="3">
        <f t="shared" si="65"/>
        <v>1.0574228809689288</v>
      </c>
      <c r="BC125" s="3">
        <f t="shared" si="66"/>
        <v>1.0504839357124633</v>
      </c>
      <c r="BD125" s="3">
        <f t="shared" si="67"/>
        <v>1.0668969261907075</v>
      </c>
      <c r="BE125" s="3">
        <f t="shared" si="68"/>
        <v>1.0653695893072357</v>
      </c>
      <c r="BF125" s="3">
        <f t="shared" si="69"/>
        <v>1.0146041810104973</v>
      </c>
      <c r="BH125" s="3">
        <f t="shared" si="70"/>
        <v>3.8995473836855032E-3</v>
      </c>
      <c r="BI125" s="3">
        <f t="shared" si="71"/>
        <v>3.431171136966546E-3</v>
      </c>
      <c r="BJ125" s="3">
        <f t="shared" si="72"/>
        <v>4.7412760231360651E-5</v>
      </c>
      <c r="BK125" s="3">
        <f t="shared" si="73"/>
        <v>-4.9707639795579725E-3</v>
      </c>
    </row>
    <row r="126" spans="1:63" x14ac:dyDescent="0.2">
      <c r="A126" s="3" t="s">
        <v>133</v>
      </c>
      <c r="B126" s="3">
        <v>75.849999999999994</v>
      </c>
      <c r="C126" s="3">
        <v>88.7</v>
      </c>
      <c r="D126" s="3">
        <v>16.920000000000002</v>
      </c>
      <c r="E126" s="3">
        <v>64.3</v>
      </c>
      <c r="F126" s="3">
        <v>55.1</v>
      </c>
      <c r="G126" s="3">
        <v>195.1</v>
      </c>
      <c r="H126" s="3">
        <v>40.65</v>
      </c>
      <c r="I126" s="3">
        <v>126.4</v>
      </c>
      <c r="J126" s="3">
        <v>11.86</v>
      </c>
      <c r="K126" s="3">
        <v>96.15</v>
      </c>
      <c r="L126" s="3">
        <v>26965.279297000001</v>
      </c>
      <c r="N126" s="3">
        <f t="shared" si="54"/>
        <v>8.5330350379484443E-3</v>
      </c>
      <c r="O126" s="3">
        <f t="shared" si="55"/>
        <v>2.1194323733399578E-2</v>
      </c>
      <c r="P126" s="3">
        <f t="shared" si="56"/>
        <v>7.0671672230919746E-3</v>
      </c>
      <c r="Q126" s="3">
        <f t="shared" si="57"/>
        <v>1.4666414959228824E-2</v>
      </c>
      <c r="R126" s="3">
        <f t="shared" si="58"/>
        <v>1.4414664002184274E-2</v>
      </c>
      <c r="S126" s="3">
        <f t="shared" si="59"/>
        <v>1.8283901928705326E-2</v>
      </c>
      <c r="T126" s="3">
        <f t="shared" si="60"/>
        <v>1.46522767868702E-2</v>
      </c>
      <c r="U126" s="3">
        <f t="shared" si="61"/>
        <v>1.9585428232384849E-2</v>
      </c>
      <c r="V126" s="3">
        <f t="shared" si="62"/>
        <v>8.3963549529064707E-3</v>
      </c>
      <c r="W126" s="3">
        <f t="shared" si="63"/>
        <v>2.1605778714581803E-2</v>
      </c>
      <c r="X126" s="3">
        <f t="shared" si="64"/>
        <v>2.2491496221185514E-2</v>
      </c>
      <c r="AZ126" s="3" t="s">
        <v>131</v>
      </c>
      <c r="BA126" s="3">
        <v>121</v>
      </c>
      <c r="BB126" s="3">
        <f t="shared" si="65"/>
        <v>1.0615544018931797</v>
      </c>
      <c r="BC126" s="3">
        <f t="shared" si="66"/>
        <v>1.054094516590715</v>
      </c>
      <c r="BD126" s="3">
        <f t="shared" si="67"/>
        <v>1.0669475119180556</v>
      </c>
      <c r="BE126" s="3">
        <f t="shared" si="68"/>
        <v>1.0600870285860728</v>
      </c>
      <c r="BF126" s="3">
        <f t="shared" si="69"/>
        <v>1.0096114963547023</v>
      </c>
      <c r="BH126" s="3">
        <f t="shared" si="70"/>
        <v>3.4532525435377673E-3</v>
      </c>
      <c r="BI126" s="3">
        <f t="shared" si="71"/>
        <v>2.7905477648553223E-3</v>
      </c>
      <c r="BJ126" s="3">
        <f t="shared" si="72"/>
        <v>-1.8632781081788508E-3</v>
      </c>
      <c r="BK126" s="3">
        <f t="shared" si="73"/>
        <v>-8.6353403120551162E-3</v>
      </c>
    </row>
    <row r="127" spans="1:63" x14ac:dyDescent="0.2">
      <c r="A127" s="3" t="s">
        <v>134</v>
      </c>
      <c r="B127" s="3">
        <v>76.5</v>
      </c>
      <c r="C127" s="3">
        <v>90.6</v>
      </c>
      <c r="D127" s="3">
        <v>17.04</v>
      </c>
      <c r="E127" s="3">
        <v>65.25</v>
      </c>
      <c r="F127" s="3">
        <v>55.9</v>
      </c>
      <c r="G127" s="3">
        <v>198.7</v>
      </c>
      <c r="H127" s="3">
        <v>41.25</v>
      </c>
      <c r="I127" s="3">
        <v>128.9</v>
      </c>
      <c r="J127" s="3">
        <v>11.96</v>
      </c>
      <c r="K127" s="3">
        <v>98.25</v>
      </c>
      <c r="L127" s="3">
        <v>27578.640625</v>
      </c>
      <c r="N127" s="3">
        <f t="shared" si="54"/>
        <v>3.9138993211365047E-3</v>
      </c>
      <c r="O127" s="3">
        <f t="shared" si="55"/>
        <v>-5.5202871951109955E-4</v>
      </c>
      <c r="P127" s="3">
        <f t="shared" si="56"/>
        <v>1.1668743834377437E-2</v>
      </c>
      <c r="Q127" s="3">
        <f t="shared" si="57"/>
        <v>3.0604461531060778E-3</v>
      </c>
      <c r="R127" s="3">
        <f t="shared" si="58"/>
        <v>8.9405459688141065E-4</v>
      </c>
      <c r="S127" s="3">
        <f t="shared" si="59"/>
        <v>1.3496830726690945E-2</v>
      </c>
      <c r="T127" s="3">
        <f t="shared" si="60"/>
        <v>6.0423144559624831E-3</v>
      </c>
      <c r="U127" s="3">
        <f t="shared" si="61"/>
        <v>1.5503879074545424E-3</v>
      </c>
      <c r="V127" s="3">
        <f t="shared" si="62"/>
        <v>2.1506205220963359E-2</v>
      </c>
      <c r="W127" s="3">
        <f t="shared" si="63"/>
        <v>-3.5687012129059781E-3</v>
      </c>
      <c r="X127" s="3">
        <f t="shared" si="64"/>
        <v>7.6109055917328305E-3</v>
      </c>
      <c r="AZ127" s="3" t="s">
        <v>132</v>
      </c>
      <c r="BA127" s="3">
        <v>122</v>
      </c>
      <c r="BB127" s="3">
        <f t="shared" si="65"/>
        <v>1.0652265541169383</v>
      </c>
      <c r="BC127" s="3">
        <f t="shared" si="66"/>
        <v>1.0570401257079094</v>
      </c>
      <c r="BD127" s="3">
        <f t="shared" si="67"/>
        <v>1.0649613429437399</v>
      </c>
      <c r="BE127" s="3">
        <f t="shared" si="68"/>
        <v>1.0509722276778362</v>
      </c>
      <c r="BF127" s="3">
        <f t="shared" si="69"/>
        <v>1.0146637914116214</v>
      </c>
      <c r="BH127" s="3">
        <f t="shared" si="70"/>
        <v>4.5754137986458582E-3</v>
      </c>
      <c r="BI127" s="3">
        <f t="shared" si="71"/>
        <v>4.6370464277562945E-3</v>
      </c>
      <c r="BJ127" s="3">
        <f t="shared" si="72"/>
        <v>6.7940743145388643E-3</v>
      </c>
      <c r="BK127" s="3">
        <f t="shared" si="73"/>
        <v>1.0433485928693809E-2</v>
      </c>
    </row>
    <row r="128" spans="1:63" x14ac:dyDescent="0.2">
      <c r="A128" s="3" t="s">
        <v>135</v>
      </c>
      <c r="B128" s="3">
        <v>76.8</v>
      </c>
      <c r="C128" s="3">
        <v>90.55</v>
      </c>
      <c r="D128" s="3">
        <v>17.239999999999998</v>
      </c>
      <c r="E128" s="3">
        <v>65.45</v>
      </c>
      <c r="F128" s="3">
        <v>55.95</v>
      </c>
      <c r="G128" s="3">
        <v>201.4</v>
      </c>
      <c r="H128" s="3">
        <v>41.5</v>
      </c>
      <c r="I128" s="3">
        <v>129.1</v>
      </c>
      <c r="J128" s="3">
        <v>12.22</v>
      </c>
      <c r="K128" s="3">
        <v>97.9</v>
      </c>
      <c r="L128" s="3">
        <v>27789.339843999998</v>
      </c>
      <c r="N128" s="3">
        <f t="shared" si="54"/>
        <v>-1.2446934359084949E-2</v>
      </c>
      <c r="O128" s="3">
        <f t="shared" si="55"/>
        <v>-1.951553433129849E-2</v>
      </c>
      <c r="P128" s="3">
        <f t="shared" si="56"/>
        <v>-3.4863486794374232E-3</v>
      </c>
      <c r="Q128" s="3">
        <f t="shared" si="57"/>
        <v>-1.152529084905396E-2</v>
      </c>
      <c r="R128" s="3">
        <f t="shared" si="58"/>
        <v>-1.7889092427250119E-3</v>
      </c>
      <c r="S128" s="3">
        <f t="shared" si="59"/>
        <v>-2.0060853285080782E-2</v>
      </c>
      <c r="T128" s="3">
        <f t="shared" si="60"/>
        <v>-2.4391453124159135E-2</v>
      </c>
      <c r="U128" s="3">
        <f t="shared" si="61"/>
        <v>-3.1473880379730979E-2</v>
      </c>
      <c r="V128" s="3">
        <f t="shared" si="62"/>
        <v>-4.8626511440157394E-2</v>
      </c>
      <c r="W128" s="3">
        <f t="shared" si="63"/>
        <v>-2.0640567647071784E-2</v>
      </c>
      <c r="X128" s="3">
        <f t="shared" si="64"/>
        <v>-1.7455909665414993E-2</v>
      </c>
      <c r="AZ128" s="3" t="s">
        <v>133</v>
      </c>
      <c r="BA128" s="3">
        <v>123</v>
      </c>
      <c r="BB128" s="3">
        <f t="shared" si="65"/>
        <v>1.0701115733614774</v>
      </c>
      <c r="BC128" s="3">
        <f t="shared" si="66"/>
        <v>1.0619530517767337</v>
      </c>
      <c r="BD128" s="3">
        <f t="shared" si="67"/>
        <v>1.0722214042210549</v>
      </c>
      <c r="BE128" s="3">
        <f t="shared" si="68"/>
        <v>1.0619949342618207</v>
      </c>
      <c r="BF128" s="3">
        <f t="shared" si="69"/>
        <v>1.0172985860959944</v>
      </c>
      <c r="BH128" s="3">
        <f t="shared" si="70"/>
        <v>1.485866595963295E-2</v>
      </c>
      <c r="BI128" s="3">
        <f t="shared" si="71"/>
        <v>1.4750569394880023E-2</v>
      </c>
      <c r="BJ128" s="3">
        <f t="shared" si="72"/>
        <v>1.3486456556819945E-2</v>
      </c>
      <c r="BK128" s="3">
        <f t="shared" si="73"/>
        <v>1.1466798089853861E-2</v>
      </c>
    </row>
    <row r="129" spans="1:63" x14ac:dyDescent="0.2">
      <c r="A129" s="3" t="s">
        <v>136</v>
      </c>
      <c r="B129" s="3">
        <v>75.849999999999994</v>
      </c>
      <c r="C129" s="3">
        <v>88.8</v>
      </c>
      <c r="D129" s="3">
        <v>17.18</v>
      </c>
      <c r="E129" s="3">
        <v>64.7</v>
      </c>
      <c r="F129" s="3">
        <v>55.85</v>
      </c>
      <c r="G129" s="3">
        <v>197.4</v>
      </c>
      <c r="H129" s="3">
        <v>40.5</v>
      </c>
      <c r="I129" s="3">
        <v>125.1</v>
      </c>
      <c r="J129" s="3">
        <v>11.64</v>
      </c>
      <c r="K129" s="3">
        <v>95.9</v>
      </c>
      <c r="L129" s="3">
        <v>27308.460938</v>
      </c>
      <c r="N129" s="3">
        <f t="shared" si="54"/>
        <v>-4.6250495395625535E-3</v>
      </c>
      <c r="O129" s="3">
        <f t="shared" si="55"/>
        <v>3.9336943110255262E-3</v>
      </c>
      <c r="P129" s="3">
        <f t="shared" si="56"/>
        <v>1.1634672632978571E-3</v>
      </c>
      <c r="Q129" s="3">
        <f t="shared" si="57"/>
        <v>-6.2015702632809422E-3</v>
      </c>
      <c r="R129" s="3">
        <f t="shared" si="58"/>
        <v>4.4662870134413168E-3</v>
      </c>
      <c r="S129" s="3">
        <f t="shared" si="59"/>
        <v>-7.1174677688645716E-3</v>
      </c>
      <c r="T129" s="3">
        <f t="shared" si="60"/>
        <v>1.4706147389695889E-2</v>
      </c>
      <c r="U129" s="3">
        <f t="shared" si="61"/>
        <v>1.5974444291568801E-3</v>
      </c>
      <c r="V129" s="3">
        <f t="shared" si="62"/>
        <v>-3.4423441909727792E-3</v>
      </c>
      <c r="W129" s="3">
        <f t="shared" si="63"/>
        <v>-3.1331618320367127E-3</v>
      </c>
      <c r="X129" s="3">
        <f t="shared" si="64"/>
        <v>-5.0363375673079247E-4</v>
      </c>
      <c r="AZ129" s="3" t="s">
        <v>134</v>
      </c>
      <c r="BA129" s="3">
        <v>124</v>
      </c>
      <c r="BB129" s="3">
        <f t="shared" si="65"/>
        <v>1.086130720624195</v>
      </c>
      <c r="BC129" s="3">
        <f t="shared" si="66"/>
        <v>1.0777335636034455</v>
      </c>
      <c r="BD129" s="3">
        <f t="shared" si="67"/>
        <v>1.0867798216787807</v>
      </c>
      <c r="BE129" s="3">
        <f t="shared" si="68"/>
        <v>1.0742427028883579</v>
      </c>
      <c r="BF129" s="3">
        <f t="shared" si="69"/>
        <v>1.0404384024823865</v>
      </c>
      <c r="BH129" s="3">
        <f t="shared" si="70"/>
        <v>5.9864973000876009E-3</v>
      </c>
      <c r="BI129" s="3">
        <f t="shared" si="71"/>
        <v>5.3566739947368408E-3</v>
      </c>
      <c r="BJ129" s="3">
        <f t="shared" si="72"/>
        <v>4.5948157438674975E-3</v>
      </c>
      <c r="BK129" s="3">
        <f t="shared" si="73"/>
        <v>1.7675852456542906E-3</v>
      </c>
    </row>
    <row r="130" spans="1:63" x14ac:dyDescent="0.2">
      <c r="A130" s="3" t="s">
        <v>137</v>
      </c>
      <c r="B130" s="3">
        <v>75.5</v>
      </c>
      <c r="C130" s="3">
        <v>89.15</v>
      </c>
      <c r="D130" s="3">
        <v>17.2</v>
      </c>
      <c r="E130" s="3">
        <v>64.3</v>
      </c>
      <c r="F130" s="3">
        <v>56.1</v>
      </c>
      <c r="G130" s="3">
        <v>196</v>
      </c>
      <c r="H130" s="3">
        <v>41.1</v>
      </c>
      <c r="I130" s="3">
        <v>125.3</v>
      </c>
      <c r="J130" s="3">
        <v>11.6</v>
      </c>
      <c r="K130" s="3">
        <v>95.6</v>
      </c>
      <c r="L130" s="3">
        <v>27294.710938</v>
      </c>
      <c r="N130" s="3">
        <f t="shared" si="54"/>
        <v>-5.3120974848894775E-3</v>
      </c>
      <c r="O130" s="3">
        <f t="shared" si="55"/>
        <v>-1.1223345734787671E-3</v>
      </c>
      <c r="P130" s="3">
        <f t="shared" si="56"/>
        <v>-1.1634672632978571E-3</v>
      </c>
      <c r="Q130" s="3">
        <f t="shared" si="57"/>
        <v>-7.8064408928302242E-3</v>
      </c>
      <c r="R130" s="3">
        <f t="shared" si="58"/>
        <v>1.7809443709948525E-3</v>
      </c>
      <c r="S130" s="3">
        <f t="shared" si="59"/>
        <v>-9.2261033732921049E-3</v>
      </c>
      <c r="T130" s="3">
        <f t="shared" si="60"/>
        <v>-1.9656652549552067E-2</v>
      </c>
      <c r="U130" s="3">
        <f t="shared" si="61"/>
        <v>4.7770791482788511E-3</v>
      </c>
      <c r="V130" s="3">
        <f t="shared" si="62"/>
        <v>-8.6580627431147583E-3</v>
      </c>
      <c r="W130" s="3">
        <f t="shared" si="63"/>
        <v>-1.9007964045177239E-2</v>
      </c>
      <c r="X130" s="3">
        <f t="shared" si="64"/>
        <v>-6.4823387913026664E-3</v>
      </c>
      <c r="AZ130" s="3" t="s">
        <v>135</v>
      </c>
      <c r="BA130" s="3">
        <v>125</v>
      </c>
      <c r="BB130" s="3">
        <f t="shared" si="65"/>
        <v>1.0926523406040669</v>
      </c>
      <c r="BC130" s="3">
        <f t="shared" si="66"/>
        <v>1.0835221208224388</v>
      </c>
      <c r="BD130" s="3">
        <f t="shared" si="67"/>
        <v>1.0917848645327259</v>
      </c>
      <c r="BE130" s="3">
        <f t="shared" si="68"/>
        <v>1.0761431975886122</v>
      </c>
      <c r="BF130" s="3">
        <f t="shared" si="69"/>
        <v>1.0483872916898525</v>
      </c>
      <c r="BH130" s="3">
        <f t="shared" si="70"/>
        <v>-1.966998569729439E-2</v>
      </c>
      <c r="BI130" s="3">
        <f t="shared" si="71"/>
        <v>-1.6870186334355108E-2</v>
      </c>
      <c r="BJ130" s="3">
        <f t="shared" si="72"/>
        <v>-9.4149342021427607E-3</v>
      </c>
      <c r="BK130" s="3">
        <f t="shared" si="73"/>
        <v>6.3197797908817605E-3</v>
      </c>
    </row>
    <row r="131" spans="1:63" x14ac:dyDescent="0.2">
      <c r="A131" s="3" t="s">
        <v>138</v>
      </c>
      <c r="B131" s="3">
        <v>75.099999999999994</v>
      </c>
      <c r="C131" s="3">
        <v>89.05</v>
      </c>
      <c r="D131" s="3">
        <v>17.18</v>
      </c>
      <c r="E131" s="3">
        <v>63.8</v>
      </c>
      <c r="F131" s="3">
        <v>56.2</v>
      </c>
      <c r="G131" s="3">
        <v>194.2</v>
      </c>
      <c r="H131" s="3">
        <v>40.299999999999997</v>
      </c>
      <c r="I131" s="3">
        <v>125.9</v>
      </c>
      <c r="J131" s="3">
        <v>11.5</v>
      </c>
      <c r="K131" s="3">
        <v>93.8</v>
      </c>
      <c r="L131" s="3">
        <v>27118.349609000001</v>
      </c>
      <c r="N131" s="3">
        <f t="shared" si="54"/>
        <v>3.3233663024150317E-3</v>
      </c>
      <c r="O131" s="3">
        <f t="shared" si="55"/>
        <v>0</v>
      </c>
      <c r="P131" s="3">
        <f t="shared" si="56"/>
        <v>-2.3310033864758495E-3</v>
      </c>
      <c r="Q131" s="3">
        <f t="shared" si="57"/>
        <v>6.2500203451714142E-3</v>
      </c>
      <c r="R131" s="3">
        <f t="shared" si="58"/>
        <v>5.3238812527496293E-3</v>
      </c>
      <c r="S131" s="3">
        <f t="shared" si="59"/>
        <v>1.5436072012766644E-3</v>
      </c>
      <c r="T131" s="3">
        <f t="shared" si="60"/>
        <v>0</v>
      </c>
      <c r="U131" s="3">
        <f t="shared" si="61"/>
        <v>8.6991454082898656E-3</v>
      </c>
      <c r="V131" s="3">
        <f t="shared" si="62"/>
        <v>2.0654779030746084E-2</v>
      </c>
      <c r="W131" s="3">
        <f t="shared" si="63"/>
        <v>1.0655302020383672E-3</v>
      </c>
      <c r="X131" s="3">
        <f t="shared" si="64"/>
        <v>4.0044041493345617E-3</v>
      </c>
      <c r="AZ131" s="3" t="s">
        <v>136</v>
      </c>
      <c r="BA131" s="3">
        <v>126</v>
      </c>
      <c r="BB131" s="3">
        <f t="shared" si="65"/>
        <v>1.0713698836960053</v>
      </c>
      <c r="BC131" s="3">
        <f t="shared" si="66"/>
        <v>1.0653962242616193</v>
      </c>
      <c r="BD131" s="3">
        <f t="shared" si="67"/>
        <v>1.0815540188124753</v>
      </c>
      <c r="BE131" s="3">
        <f t="shared" si="68"/>
        <v>1.0829657213372823</v>
      </c>
      <c r="BF131" s="3">
        <f t="shared" si="69"/>
        <v>1.0302455388910372</v>
      </c>
      <c r="BH131" s="3">
        <f t="shared" si="70"/>
        <v>2.8937950445913352E-4</v>
      </c>
      <c r="BI131" s="3">
        <f t="shared" si="71"/>
        <v>3.1089877193044013E-4</v>
      </c>
      <c r="BJ131" s="3">
        <f t="shared" si="72"/>
        <v>3.6616909544920778E-3</v>
      </c>
      <c r="BK131" s="3">
        <f t="shared" si="73"/>
        <v>7.8414770812191975E-3</v>
      </c>
    </row>
    <row r="132" spans="1:63" x14ac:dyDescent="0.2">
      <c r="A132" s="3" t="s">
        <v>139</v>
      </c>
      <c r="B132" s="3">
        <v>75.349999999999994</v>
      </c>
      <c r="C132" s="3">
        <v>89.05</v>
      </c>
      <c r="D132" s="3">
        <v>17.14</v>
      </c>
      <c r="E132" s="3">
        <v>64.2</v>
      </c>
      <c r="F132" s="3">
        <v>56.5</v>
      </c>
      <c r="G132" s="3">
        <v>194.5</v>
      </c>
      <c r="H132" s="3">
        <v>40.299999999999997</v>
      </c>
      <c r="I132" s="3">
        <v>127</v>
      </c>
      <c r="J132" s="3">
        <v>11.74</v>
      </c>
      <c r="K132" s="3">
        <v>93.9</v>
      </c>
      <c r="L132" s="3">
        <v>27227.160156000002</v>
      </c>
      <c r="N132" s="3">
        <f t="shared" ref="N132:N195" si="74">LN(B133)-LN(B132)</f>
        <v>0</v>
      </c>
      <c r="O132" s="3">
        <f t="shared" ref="O132:O195" si="75">LN(C133)-LN(C132)</f>
        <v>-3.9381204201367481E-3</v>
      </c>
      <c r="P132" s="3">
        <f t="shared" ref="P132:P195" si="76">LN(D133)-LN(D132)</f>
        <v>2.3310033864758495E-3</v>
      </c>
      <c r="Q132" s="3">
        <f t="shared" ref="Q132:Q195" si="77">LN(E133)-LN(E132)</f>
        <v>-2.3391823531717648E-3</v>
      </c>
      <c r="R132" s="3">
        <f t="shared" ref="R132:R195" si="78">LN(F133)-LN(F132)</f>
        <v>0</v>
      </c>
      <c r="S132" s="3">
        <f t="shared" ref="S132:S195" si="79">LN(G133)-LN(G132)</f>
        <v>2.0544434550133772E-3</v>
      </c>
      <c r="T132" s="3">
        <f t="shared" ref="T132:T195" si="80">LN(H133)-LN(H132)</f>
        <v>7.4165976550499835E-3</v>
      </c>
      <c r="U132" s="3">
        <f t="shared" ref="U132:U195" si="81">LN(I133)-LN(I132)</f>
        <v>2.4884643315877142E-2</v>
      </c>
      <c r="V132" s="3">
        <f t="shared" ref="V132:V195" si="82">LN(J133)-LN(J132)</f>
        <v>1.8565934122535488E-2</v>
      </c>
      <c r="W132" s="3">
        <f t="shared" ref="W132:W195" si="83">LN(K133)-LN(K132)</f>
        <v>1.4799424445939735E-2</v>
      </c>
      <c r="X132" s="3">
        <f t="shared" ref="X132:X195" si="84">LN(L133)-LN(L132)</f>
        <v>9.9262490997826802E-3</v>
      </c>
      <c r="AZ132" s="3" t="s">
        <v>137</v>
      </c>
      <c r="BA132" s="3">
        <v>127</v>
      </c>
      <c r="BB132" s="3">
        <f t="shared" si="65"/>
        <v>1.0716799610448926</v>
      </c>
      <c r="BC132" s="3">
        <f t="shared" si="66"/>
        <v>1.0657275061342568</v>
      </c>
      <c r="BD132" s="3">
        <f t="shared" si="67"/>
        <v>1.0855215949657135</v>
      </c>
      <c r="BE132" s="3">
        <f t="shared" si="68"/>
        <v>1.0914911545305741</v>
      </c>
      <c r="BF132" s="3">
        <f t="shared" si="69"/>
        <v>1.0297268030973243</v>
      </c>
      <c r="BH132" s="3">
        <f t="shared" si="70"/>
        <v>-6.5365117763340197E-3</v>
      </c>
      <c r="BI132" s="3">
        <f t="shared" si="71"/>
        <v>-5.7296908697732629E-3</v>
      </c>
      <c r="BJ132" s="3">
        <f t="shared" si="72"/>
        <v>1.754225908728313E-4</v>
      </c>
      <c r="BK132" s="3">
        <f t="shared" si="73"/>
        <v>9.3181343803516725E-3</v>
      </c>
    </row>
    <row r="133" spans="1:63" x14ac:dyDescent="0.2">
      <c r="A133" s="3" t="s">
        <v>140</v>
      </c>
      <c r="B133" s="3">
        <v>75.349999999999994</v>
      </c>
      <c r="C133" s="3">
        <v>88.7</v>
      </c>
      <c r="D133" s="3">
        <v>17.18</v>
      </c>
      <c r="E133" s="3">
        <v>64.05</v>
      </c>
      <c r="F133" s="3">
        <v>56.5</v>
      </c>
      <c r="G133" s="3">
        <v>194.9</v>
      </c>
      <c r="H133" s="3">
        <v>40.6</v>
      </c>
      <c r="I133" s="3">
        <v>130.19999999999999</v>
      </c>
      <c r="J133" s="3">
        <v>11.96</v>
      </c>
      <c r="K133" s="3">
        <v>95.3</v>
      </c>
      <c r="L133" s="3">
        <v>27498.769531000002</v>
      </c>
      <c r="N133" s="3">
        <f t="shared" si="74"/>
        <v>2.1661496781179679E-2</v>
      </c>
      <c r="O133" s="3">
        <f t="shared" si="75"/>
        <v>8.4199206391941672E-3</v>
      </c>
      <c r="P133" s="3">
        <f t="shared" si="76"/>
        <v>1.0422792676094694E-2</v>
      </c>
      <c r="Q133" s="3">
        <f t="shared" si="77"/>
        <v>1.7028275228110346E-2</v>
      </c>
      <c r="R133" s="3">
        <f t="shared" si="78"/>
        <v>8.8106296821548469E-3</v>
      </c>
      <c r="S133" s="3">
        <f t="shared" si="79"/>
        <v>2.533063499283994E-2</v>
      </c>
      <c r="T133" s="3">
        <f t="shared" si="80"/>
        <v>2.1925360628965329E-2</v>
      </c>
      <c r="U133" s="3">
        <f t="shared" si="81"/>
        <v>1.2213892293938322E-2</v>
      </c>
      <c r="V133" s="3">
        <f t="shared" si="82"/>
        <v>1.6584128015534993E-2</v>
      </c>
      <c r="W133" s="3">
        <f t="shared" si="83"/>
        <v>1.1476390956342897E-2</v>
      </c>
      <c r="X133" s="3">
        <f t="shared" si="84"/>
        <v>2.5256624406898354E-2</v>
      </c>
      <c r="AZ133" s="3" t="s">
        <v>138</v>
      </c>
      <c r="BA133" s="3">
        <v>128</v>
      </c>
      <c r="BB133" s="3">
        <f t="shared" ref="BB133:BB196" si="85">SUMPRODUCT(AM$5:AV$5,B131:K131)</f>
        <v>1.0646977568491489</v>
      </c>
      <c r="BC133" s="3">
        <f t="shared" ref="BC133:BC196" si="86">SUMPRODUCT(AM$13:AV$13,B131:K131)</f>
        <v>1.0596386771842006</v>
      </c>
      <c r="BD133" s="3">
        <f t="shared" si="67"/>
        <v>1.0857120366797519</v>
      </c>
      <c r="BE133" s="3">
        <f t="shared" si="68"/>
        <v>1.1017093491035064</v>
      </c>
      <c r="BF133" s="3">
        <f t="shared" si="69"/>
        <v>1.0230733533533911</v>
      </c>
      <c r="BH133" s="3">
        <f t="shared" si="70"/>
        <v>4.4424250399843213E-3</v>
      </c>
      <c r="BI133" s="3">
        <f t="shared" si="71"/>
        <v>3.7906355934079899E-3</v>
      </c>
      <c r="BJ133" s="3">
        <f t="shared" si="72"/>
        <v>2.3027605741250956E-3</v>
      </c>
      <c r="BK133" s="3">
        <f t="shared" si="73"/>
        <v>-3.6864576590621423E-4</v>
      </c>
    </row>
    <row r="134" spans="1:63" x14ac:dyDescent="0.2">
      <c r="A134" s="3" t="s">
        <v>141</v>
      </c>
      <c r="B134" s="3">
        <v>77</v>
      </c>
      <c r="C134" s="3">
        <v>89.45</v>
      </c>
      <c r="D134" s="3">
        <v>17.36</v>
      </c>
      <c r="E134" s="3">
        <v>65.150000000000006</v>
      </c>
      <c r="F134" s="3">
        <v>57</v>
      </c>
      <c r="G134" s="3">
        <v>199.9</v>
      </c>
      <c r="H134" s="3">
        <v>41.5</v>
      </c>
      <c r="I134" s="3">
        <v>131.80000000000001</v>
      </c>
      <c r="J134" s="3">
        <v>12.16</v>
      </c>
      <c r="K134" s="3">
        <v>96.4</v>
      </c>
      <c r="L134" s="3">
        <v>28202.140625</v>
      </c>
      <c r="N134" s="3">
        <f t="shared" si="74"/>
        <v>1.2262173650101182E-2</v>
      </c>
      <c r="O134" s="3">
        <f t="shared" si="75"/>
        <v>8.9037872582622413E-3</v>
      </c>
      <c r="P134" s="3">
        <f t="shared" si="76"/>
        <v>1.4865911275829369E-2</v>
      </c>
      <c r="Q134" s="3">
        <f t="shared" si="77"/>
        <v>7.6716536175336358E-4</v>
      </c>
      <c r="R134" s="3">
        <f t="shared" si="78"/>
        <v>-8.7757794135878697E-4</v>
      </c>
      <c r="S134" s="3">
        <f t="shared" si="79"/>
        <v>3.4956340214806758E-3</v>
      </c>
      <c r="T134" s="3">
        <f t="shared" si="80"/>
        <v>2.7333846701035558E-2</v>
      </c>
      <c r="U134" s="3">
        <f t="shared" si="81"/>
        <v>1.9534806020642392E-2</v>
      </c>
      <c r="V134" s="3">
        <f t="shared" si="82"/>
        <v>2.2765210773012523E-2</v>
      </c>
      <c r="W134" s="3">
        <f t="shared" si="83"/>
        <v>-2.596729581711088E-3</v>
      </c>
      <c r="X134" s="3">
        <f t="shared" si="84"/>
        <v>1.2274102605445592E-2</v>
      </c>
      <c r="AZ134" s="3" t="s">
        <v>139</v>
      </c>
      <c r="BA134" s="3">
        <v>129</v>
      </c>
      <c r="BB134" s="3">
        <f t="shared" si="85"/>
        <v>1.0694381183785968</v>
      </c>
      <c r="BC134" s="3">
        <f t="shared" si="86"/>
        <v>1.0636630038292296</v>
      </c>
      <c r="BD134" s="3">
        <f t="shared" ref="BD134:BD197" si="87">SUMPRODUCT(AM$30:AV$30,B132:K132)/SUMPRODUCT(AM$30:AV$30,B$3:K$3)</f>
        <v>1.0882150523695315</v>
      </c>
      <c r="BE134" s="3">
        <f t="shared" ref="BE134:BE197" si="88">SUMPRODUCT(AM$41:AV$41,B132:K132)/SUMPRODUCT(AM$41:AV$41,B$3:K$3)</f>
        <v>1.1013032834684873</v>
      </c>
      <c r="BF134" s="3">
        <f t="shared" ref="BF134:BF197" si="89">L132/L$3</f>
        <v>1.0271783661142917</v>
      </c>
      <c r="BH134" s="3">
        <f t="shared" ref="BH134:BH197" si="90">LN(BB135)-LN(BB134)</f>
        <v>6.7758214251718157E-3</v>
      </c>
      <c r="BI134" s="3">
        <f t="shared" ref="BI134:BI197" si="91">LN(BC135)-LN(BC134)</f>
        <v>4.9655072395645983E-3</v>
      </c>
      <c r="BJ134" s="3">
        <f t="shared" ref="BJ134:BJ197" si="92">LN(BD135)-LN(BD134)</f>
        <v>8.397482345381263E-4</v>
      </c>
      <c r="BK134" s="3">
        <f t="shared" ref="BK134:BK197" si="93">LN(BE135)-LN(BE134)</f>
        <v>-7.786231518409556E-3</v>
      </c>
    </row>
    <row r="135" spans="1:63" x14ac:dyDescent="0.2">
      <c r="A135" s="3" t="s">
        <v>142</v>
      </c>
      <c r="B135" s="3">
        <v>77.95</v>
      </c>
      <c r="C135" s="3">
        <v>90.25</v>
      </c>
      <c r="D135" s="3">
        <v>17.62</v>
      </c>
      <c r="E135" s="3">
        <v>65.2</v>
      </c>
      <c r="F135" s="3">
        <v>56.95</v>
      </c>
      <c r="G135" s="3">
        <v>200.6</v>
      </c>
      <c r="H135" s="3">
        <v>42.65</v>
      </c>
      <c r="I135" s="3">
        <v>134.4</v>
      </c>
      <c r="J135" s="3">
        <v>12.44</v>
      </c>
      <c r="K135" s="3">
        <v>96.15</v>
      </c>
      <c r="L135" s="3">
        <v>28550.429688</v>
      </c>
      <c r="N135" s="3">
        <f t="shared" si="74"/>
        <v>-5.1447058812374991E-3</v>
      </c>
      <c r="O135" s="3">
        <f t="shared" si="75"/>
        <v>-4.3595921402980409E-2</v>
      </c>
      <c r="P135" s="3">
        <f t="shared" si="76"/>
        <v>-6.8337395785649235E-3</v>
      </c>
      <c r="Q135" s="3">
        <f t="shared" si="77"/>
        <v>-8.471363714740221E-3</v>
      </c>
      <c r="R135" s="3">
        <f t="shared" si="78"/>
        <v>-8.7834876090653324E-4</v>
      </c>
      <c r="S135" s="3">
        <f t="shared" si="79"/>
        <v>-2.3198216297318552E-2</v>
      </c>
      <c r="T135" s="3">
        <f t="shared" si="80"/>
        <v>-9.4229201345052971E-3</v>
      </c>
      <c r="U135" s="3">
        <f t="shared" si="81"/>
        <v>-1.0471299867295336E-2</v>
      </c>
      <c r="V135" s="3">
        <f t="shared" si="82"/>
        <v>-8.0710688337917169E-3</v>
      </c>
      <c r="W135" s="3">
        <f t="shared" si="83"/>
        <v>-3.6467870579741657E-3</v>
      </c>
      <c r="X135" s="3">
        <f t="shared" si="84"/>
        <v>-2.6907480041096221E-3</v>
      </c>
      <c r="AZ135" s="3" t="s">
        <v>140</v>
      </c>
      <c r="BA135" s="3">
        <v>130</v>
      </c>
      <c r="BB135" s="3">
        <f t="shared" si="85"/>
        <v>1.0767090455275823</v>
      </c>
      <c r="BC135" s="3">
        <f t="shared" si="86"/>
        <v>1.0689577648832933</v>
      </c>
      <c r="BD135" s="3">
        <f t="shared" si="87"/>
        <v>1.0891292628381468</v>
      </c>
      <c r="BE135" s="3">
        <f t="shared" si="88"/>
        <v>1.0927615781327193</v>
      </c>
      <c r="BF135" s="3">
        <f t="shared" si="89"/>
        <v>1.0374251664576004</v>
      </c>
      <c r="BH135" s="3">
        <f t="shared" si="90"/>
        <v>1.5270600899252029E-2</v>
      </c>
      <c r="BI135" s="3">
        <f t="shared" si="91"/>
        <v>1.4711720414571736E-2</v>
      </c>
      <c r="BJ135" s="3">
        <f t="shared" si="92"/>
        <v>1.03116754458209E-2</v>
      </c>
      <c r="BK135" s="3">
        <f t="shared" si="93"/>
        <v>3.2395602191864076E-3</v>
      </c>
    </row>
    <row r="136" spans="1:63" x14ac:dyDescent="0.2">
      <c r="A136" s="3" t="s">
        <v>143</v>
      </c>
      <c r="B136" s="3">
        <v>77.55</v>
      </c>
      <c r="C136" s="3">
        <v>86.4</v>
      </c>
      <c r="D136" s="3">
        <v>17.5</v>
      </c>
      <c r="E136" s="3">
        <v>64.650000000000006</v>
      </c>
      <c r="F136" s="3">
        <v>56.9</v>
      </c>
      <c r="G136" s="3">
        <v>196</v>
      </c>
      <c r="H136" s="3">
        <v>42.25</v>
      </c>
      <c r="I136" s="3">
        <v>133</v>
      </c>
      <c r="J136" s="3">
        <v>12.34</v>
      </c>
      <c r="K136" s="3">
        <v>95.8</v>
      </c>
      <c r="L136" s="3">
        <v>28473.710938</v>
      </c>
      <c r="N136" s="3">
        <f t="shared" si="74"/>
        <v>-1.1021181249337708E-2</v>
      </c>
      <c r="O136" s="3">
        <f t="shared" si="75"/>
        <v>4.6189458562944097E-3</v>
      </c>
      <c r="P136" s="3">
        <f t="shared" si="76"/>
        <v>9.1013142463451935E-3</v>
      </c>
      <c r="Q136" s="3">
        <f t="shared" si="77"/>
        <v>-4.6511711757313279E-3</v>
      </c>
      <c r="R136" s="3">
        <f t="shared" si="78"/>
        <v>-8.8261826282716171E-3</v>
      </c>
      <c r="S136" s="3">
        <f t="shared" si="79"/>
        <v>-3.0659196218341123E-3</v>
      </c>
      <c r="T136" s="3">
        <f t="shared" si="80"/>
        <v>2.800649790821863E-2</v>
      </c>
      <c r="U136" s="3">
        <f t="shared" si="81"/>
        <v>1.121507082013995E-2</v>
      </c>
      <c r="V136" s="3">
        <f t="shared" si="82"/>
        <v>4.8504541337495155E-3</v>
      </c>
      <c r="W136" s="3">
        <f t="shared" si="83"/>
        <v>4.686288191079413E-3</v>
      </c>
      <c r="X136" s="3">
        <f t="shared" si="84"/>
        <v>1.3788852726683842E-3</v>
      </c>
      <c r="AZ136" s="3" t="s">
        <v>141</v>
      </c>
      <c r="BA136" s="3">
        <v>131</v>
      </c>
      <c r="BB136" s="3">
        <f t="shared" si="85"/>
        <v>1.0932772206800994</v>
      </c>
      <c r="BC136" s="3">
        <f t="shared" si="86"/>
        <v>1.0848002218166735</v>
      </c>
      <c r="BD136" s="3">
        <f t="shared" si="87"/>
        <v>1.1004181137694988</v>
      </c>
      <c r="BE136" s="3">
        <f t="shared" si="88"/>
        <v>1.0963073853973435</v>
      </c>
      <c r="BF136" s="3">
        <f t="shared" si="89"/>
        <v>1.0639607128372961</v>
      </c>
      <c r="BH136" s="3">
        <f t="shared" si="90"/>
        <v>1.1025481585405811E-2</v>
      </c>
      <c r="BI136" s="3">
        <f t="shared" si="91"/>
        <v>9.5608851246114374E-3</v>
      </c>
      <c r="BJ136" s="3">
        <f t="shared" si="92"/>
        <v>8.9338175277316051E-3</v>
      </c>
      <c r="BK136" s="3">
        <f t="shared" si="93"/>
        <v>4.3190206108700141E-3</v>
      </c>
    </row>
    <row r="137" spans="1:63" x14ac:dyDescent="0.2">
      <c r="A137" s="3" t="s">
        <v>144</v>
      </c>
      <c r="B137" s="3">
        <v>76.7</v>
      </c>
      <c r="C137" s="3">
        <v>86.8</v>
      </c>
      <c r="D137" s="3">
        <v>17.66</v>
      </c>
      <c r="E137" s="3">
        <v>64.349999999999994</v>
      </c>
      <c r="F137" s="3">
        <v>56.4</v>
      </c>
      <c r="G137" s="3">
        <v>195.4</v>
      </c>
      <c r="H137" s="3">
        <v>43.45</v>
      </c>
      <c r="I137" s="3">
        <v>134.5</v>
      </c>
      <c r="J137" s="3">
        <v>12.4</v>
      </c>
      <c r="K137" s="3">
        <v>96.25</v>
      </c>
      <c r="L137" s="3">
        <v>28513</v>
      </c>
      <c r="N137" s="3">
        <f t="shared" si="74"/>
        <v>-3.9190122007353168E-3</v>
      </c>
      <c r="O137" s="3">
        <f t="shared" si="75"/>
        <v>-6.936443996656827E-3</v>
      </c>
      <c r="P137" s="3">
        <f t="shared" si="76"/>
        <v>0</v>
      </c>
      <c r="Q137" s="3">
        <f t="shared" si="77"/>
        <v>-3.8925701155116954E-3</v>
      </c>
      <c r="R137" s="3">
        <f t="shared" si="78"/>
        <v>0</v>
      </c>
      <c r="S137" s="3">
        <f t="shared" si="79"/>
        <v>-1.23585507037971E-2</v>
      </c>
      <c r="T137" s="3">
        <f t="shared" si="80"/>
        <v>-9.2486208376616474E-3</v>
      </c>
      <c r="U137" s="3">
        <f t="shared" si="81"/>
        <v>-5.9657149339962245E-3</v>
      </c>
      <c r="V137" s="3">
        <f t="shared" si="82"/>
        <v>-8.097210232619112E-3</v>
      </c>
      <c r="W137" s="3">
        <f t="shared" si="83"/>
        <v>-2.6007817000577305E-3</v>
      </c>
      <c r="X137" s="3">
        <f t="shared" si="84"/>
        <v>-1.1535415788680226E-2</v>
      </c>
      <c r="AZ137" s="3" t="s">
        <v>142</v>
      </c>
      <c r="BA137" s="3">
        <v>132</v>
      </c>
      <c r="BB137" s="3">
        <f t="shared" si="85"/>
        <v>1.1053978235033528</v>
      </c>
      <c r="BC137" s="3">
        <f t="shared" si="86"/>
        <v>1.0952216115905782</v>
      </c>
      <c r="BD137" s="3">
        <f t="shared" si="87"/>
        <v>1.1102930933556792</v>
      </c>
      <c r="BE137" s="3">
        <f t="shared" si="88"/>
        <v>1.1010525995531857</v>
      </c>
      <c r="BF137" s="3">
        <f t="shared" si="89"/>
        <v>1.0771003494581568</v>
      </c>
      <c r="BH137" s="3">
        <f t="shared" si="90"/>
        <v>-1.1791875267928145E-2</v>
      </c>
      <c r="BI137" s="3">
        <f t="shared" si="91"/>
        <v>-1.1873270954290999E-2</v>
      </c>
      <c r="BJ137" s="3">
        <f t="shared" si="92"/>
        <v>-1.3685204806995463E-2</v>
      </c>
      <c r="BK137" s="3">
        <f t="shared" si="93"/>
        <v>-1.458954734842699E-2</v>
      </c>
    </row>
    <row r="138" spans="1:63" x14ac:dyDescent="0.2">
      <c r="A138" s="3" t="s">
        <v>145</v>
      </c>
      <c r="B138" s="3">
        <v>76.400000000000006</v>
      </c>
      <c r="C138" s="3">
        <v>86.2</v>
      </c>
      <c r="D138" s="3">
        <v>17.66</v>
      </c>
      <c r="E138" s="3">
        <v>64.099999999999994</v>
      </c>
      <c r="F138" s="3">
        <v>56.4</v>
      </c>
      <c r="G138" s="3">
        <v>193</v>
      </c>
      <c r="H138" s="3">
        <v>43.05</v>
      </c>
      <c r="I138" s="3">
        <v>133.69999999999999</v>
      </c>
      <c r="J138" s="3">
        <v>12.3</v>
      </c>
      <c r="K138" s="3">
        <v>96</v>
      </c>
      <c r="L138" s="3">
        <v>28185.980468999998</v>
      </c>
      <c r="N138" s="3">
        <f t="shared" si="74"/>
        <v>9.7688826366955084E-3</v>
      </c>
      <c r="O138" s="3">
        <f t="shared" si="75"/>
        <v>-6.9848945219517233E-3</v>
      </c>
      <c r="P138" s="3">
        <f t="shared" si="76"/>
        <v>-1.5982075338567991E-2</v>
      </c>
      <c r="Q138" s="3">
        <f t="shared" si="77"/>
        <v>7.7972713502116875E-4</v>
      </c>
      <c r="R138" s="3">
        <f t="shared" si="78"/>
        <v>8.8613209165799844E-4</v>
      </c>
      <c r="S138" s="3">
        <f t="shared" si="79"/>
        <v>3.1039859375914247E-3</v>
      </c>
      <c r="T138" s="3">
        <f t="shared" si="80"/>
        <v>-1.4035318116383255E-2</v>
      </c>
      <c r="U138" s="3">
        <f t="shared" si="81"/>
        <v>-1.7352378057386986E-2</v>
      </c>
      <c r="V138" s="3">
        <f t="shared" si="82"/>
        <v>-9.8040000966213015E-3</v>
      </c>
      <c r="W138" s="3">
        <f t="shared" si="83"/>
        <v>-7.3183808076793255E-3</v>
      </c>
      <c r="X138" s="3">
        <f t="shared" si="84"/>
        <v>1.2764157501550244E-3</v>
      </c>
      <c r="AZ138" s="3" t="s">
        <v>143</v>
      </c>
      <c r="BA138" s="3">
        <v>133</v>
      </c>
      <c r="BB138" s="3">
        <f t="shared" si="85"/>
        <v>1.0924396609161762</v>
      </c>
      <c r="BC138" s="3">
        <f t="shared" si="86"/>
        <v>1.0822946432044211</v>
      </c>
      <c r="BD138" s="3">
        <f t="shared" si="87"/>
        <v>1.095202002836531</v>
      </c>
      <c r="BE138" s="3">
        <f t="shared" si="88"/>
        <v>1.0851053549289063</v>
      </c>
      <c r="BF138" s="3">
        <f t="shared" si="89"/>
        <v>1.074206039518236</v>
      </c>
      <c r="BH138" s="3">
        <f t="shared" si="90"/>
        <v>4.1430808392940999E-3</v>
      </c>
      <c r="BI138" s="3">
        <f t="shared" si="91"/>
        <v>2.7492029621252051E-3</v>
      </c>
      <c r="BJ138" s="3">
        <f t="shared" si="92"/>
        <v>5.6450414244663127E-4</v>
      </c>
      <c r="BK138" s="3">
        <f t="shared" si="93"/>
        <v>-6.6056028521548765E-3</v>
      </c>
    </row>
    <row r="139" spans="1:63" x14ac:dyDescent="0.2">
      <c r="A139" s="3" t="s">
        <v>146</v>
      </c>
      <c r="B139" s="3">
        <v>77.150000000000006</v>
      </c>
      <c r="C139" s="3">
        <v>85.6</v>
      </c>
      <c r="D139" s="3">
        <v>17.38</v>
      </c>
      <c r="E139" s="3">
        <v>64.150000000000006</v>
      </c>
      <c r="F139" s="3">
        <v>56.45</v>
      </c>
      <c r="G139" s="3">
        <v>193.6</v>
      </c>
      <c r="H139" s="3">
        <v>42.45</v>
      </c>
      <c r="I139" s="3">
        <v>131.4</v>
      </c>
      <c r="J139" s="3">
        <v>12.18</v>
      </c>
      <c r="K139" s="3">
        <v>95.3</v>
      </c>
      <c r="L139" s="3">
        <v>28221.980468999998</v>
      </c>
      <c r="N139" s="3">
        <f t="shared" si="74"/>
        <v>1.3518068742095046E-2</v>
      </c>
      <c r="O139" s="3">
        <f t="shared" si="75"/>
        <v>1.1614532420693102E-2</v>
      </c>
      <c r="P139" s="3">
        <f t="shared" si="76"/>
        <v>9.1638671067912902E-3</v>
      </c>
      <c r="Q139" s="3">
        <f t="shared" si="77"/>
        <v>1.3932113896869325E-2</v>
      </c>
      <c r="R139" s="3">
        <f t="shared" si="78"/>
        <v>2.6536946134658734E-3</v>
      </c>
      <c r="S139" s="3">
        <f t="shared" si="79"/>
        <v>1.8424267326057731E-2</v>
      </c>
      <c r="T139" s="3">
        <f t="shared" si="80"/>
        <v>1.7513582492708402E-2</v>
      </c>
      <c r="U139" s="3">
        <f t="shared" si="81"/>
        <v>1.2854619350555652E-2</v>
      </c>
      <c r="V139" s="3">
        <f t="shared" si="82"/>
        <v>9.8040000966213015E-3</v>
      </c>
      <c r="W139" s="3">
        <f t="shared" si="83"/>
        <v>5.232874316657643E-3</v>
      </c>
      <c r="X139" s="3">
        <f t="shared" si="84"/>
        <v>1.4054262239074689E-2</v>
      </c>
      <c r="AZ139" s="3" t="s">
        <v>144</v>
      </c>
      <c r="BA139" s="3">
        <v>134</v>
      </c>
      <c r="BB139" s="3">
        <f t="shared" si="85"/>
        <v>1.0969751156335383</v>
      </c>
      <c r="BC139" s="3">
        <f t="shared" si="86"/>
        <v>1.0852741846488501</v>
      </c>
      <c r="BD139" s="3">
        <f t="shared" si="87"/>
        <v>1.0958204234380213</v>
      </c>
      <c r="BE139" s="3">
        <f t="shared" si="88"/>
        <v>1.0779612015986135</v>
      </c>
      <c r="BF139" s="3">
        <f t="shared" si="89"/>
        <v>1.0756882680826583</v>
      </c>
      <c r="BH139" s="3">
        <f t="shared" si="90"/>
        <v>-5.3165192246939774E-3</v>
      </c>
      <c r="BI139" s="3">
        <f t="shared" si="91"/>
        <v>-4.7508581816196466E-3</v>
      </c>
      <c r="BJ139" s="3">
        <f t="shared" si="92"/>
        <v>-2.4722931220215461E-3</v>
      </c>
      <c r="BK139" s="3">
        <f t="shared" si="93"/>
        <v>2.1373422555754917E-3</v>
      </c>
    </row>
    <row r="140" spans="1:63" x14ac:dyDescent="0.2">
      <c r="A140" s="3" t="s">
        <v>147</v>
      </c>
      <c r="B140" s="3">
        <v>78.2</v>
      </c>
      <c r="C140" s="3">
        <v>86.6</v>
      </c>
      <c r="D140" s="3">
        <v>17.54</v>
      </c>
      <c r="E140" s="3">
        <v>65.05</v>
      </c>
      <c r="F140" s="3">
        <v>56.6</v>
      </c>
      <c r="G140" s="3">
        <v>197.2</v>
      </c>
      <c r="H140" s="3">
        <v>43.2</v>
      </c>
      <c r="I140" s="3">
        <v>133.1</v>
      </c>
      <c r="J140" s="3">
        <v>12.3</v>
      </c>
      <c r="K140" s="3">
        <v>95.8</v>
      </c>
      <c r="L140" s="3">
        <v>28621.419922000001</v>
      </c>
      <c r="N140" s="3">
        <f t="shared" si="74"/>
        <v>-1.5464225697581213E-2</v>
      </c>
      <c r="O140" s="3">
        <f t="shared" si="75"/>
        <v>-4.6296378987413789E-3</v>
      </c>
      <c r="P140" s="3">
        <f t="shared" si="76"/>
        <v>-1.2622083809747942E-2</v>
      </c>
      <c r="Q140" s="3">
        <f t="shared" si="77"/>
        <v>-3.8506016002859411E-3</v>
      </c>
      <c r="R140" s="3">
        <f t="shared" si="78"/>
        <v>-7.0922283094914107E-3</v>
      </c>
      <c r="S140" s="3">
        <f t="shared" si="79"/>
        <v>-1.3786279110033384E-2</v>
      </c>
      <c r="T140" s="3">
        <f t="shared" si="80"/>
        <v>-3.4782643763251464E-3</v>
      </c>
      <c r="U140" s="3">
        <f t="shared" si="81"/>
        <v>-4.5180799747894795E-3</v>
      </c>
      <c r="V140" s="3">
        <f t="shared" si="82"/>
        <v>-6.525308634922844E-3</v>
      </c>
      <c r="W140" s="3">
        <f t="shared" si="83"/>
        <v>2.0855064910216825E-3</v>
      </c>
      <c r="X140" s="3">
        <f t="shared" si="84"/>
        <v>-2.7570071046749689E-3</v>
      </c>
      <c r="AZ140" s="3" t="s">
        <v>145</v>
      </c>
      <c r="BA140" s="3">
        <v>135</v>
      </c>
      <c r="BB140" s="3">
        <f t="shared" si="85"/>
        <v>1.0911585021117918</v>
      </c>
      <c r="BC140" s="3">
        <f t="shared" si="86"/>
        <v>1.0801304292105378</v>
      </c>
      <c r="BD140" s="3">
        <f t="shared" si="87"/>
        <v>1.0931145803390547</v>
      </c>
      <c r="BE140" s="3">
        <f t="shared" si="88"/>
        <v>1.0802676375681621</v>
      </c>
      <c r="BF140" s="3">
        <f t="shared" si="89"/>
        <v>1.0633510509209918</v>
      </c>
      <c r="BH140" s="3">
        <f t="shared" si="90"/>
        <v>-6.3287858342952336E-3</v>
      </c>
      <c r="BI140" s="3">
        <f t="shared" si="91"/>
        <v>-5.4672623961039557E-3</v>
      </c>
      <c r="BJ140" s="3">
        <f t="shared" si="92"/>
        <v>-5.9436091969275323E-3</v>
      </c>
      <c r="BK140" s="3">
        <f t="shared" si="93"/>
        <v>-3.8154373791734614E-3</v>
      </c>
    </row>
    <row r="141" spans="1:63" x14ac:dyDescent="0.2">
      <c r="A141" s="3" t="s">
        <v>148</v>
      </c>
      <c r="B141" s="3">
        <v>77</v>
      </c>
      <c r="C141" s="3">
        <v>86.2</v>
      </c>
      <c r="D141" s="3">
        <v>17.32</v>
      </c>
      <c r="E141" s="3">
        <v>64.8</v>
      </c>
      <c r="F141" s="3">
        <v>56.2</v>
      </c>
      <c r="G141" s="3">
        <v>194.5</v>
      </c>
      <c r="H141" s="3">
        <v>43.05</v>
      </c>
      <c r="I141" s="3">
        <v>132.5</v>
      </c>
      <c r="J141" s="3">
        <v>12.22</v>
      </c>
      <c r="K141" s="3">
        <v>96</v>
      </c>
      <c r="L141" s="3">
        <v>28542.619140999999</v>
      </c>
      <c r="N141" s="3">
        <f t="shared" si="74"/>
        <v>1.2978587155991761E-3</v>
      </c>
      <c r="O141" s="3">
        <f t="shared" si="75"/>
        <v>1.3252858910417942E-2</v>
      </c>
      <c r="P141" s="3">
        <f t="shared" si="76"/>
        <v>1.2622083809747942E-2</v>
      </c>
      <c r="Q141" s="3">
        <f t="shared" si="77"/>
        <v>8.4518367120027804E-3</v>
      </c>
      <c r="R141" s="3">
        <f t="shared" si="78"/>
        <v>2.112754642587511E-2</v>
      </c>
      <c r="S141" s="3">
        <f t="shared" si="79"/>
        <v>6.1507113435288474E-3</v>
      </c>
      <c r="T141" s="3">
        <f t="shared" si="80"/>
        <v>5.7904041347045521E-3</v>
      </c>
      <c r="U141" s="3">
        <f t="shared" si="81"/>
        <v>7.5443232548533246E-4</v>
      </c>
      <c r="V141" s="3">
        <f t="shared" si="82"/>
        <v>2.1053409197832273E-2</v>
      </c>
      <c r="W141" s="3">
        <f t="shared" si="83"/>
        <v>6.7480141865035037E-3</v>
      </c>
      <c r="X141" s="3">
        <f t="shared" si="84"/>
        <v>1.1597202815675445E-2</v>
      </c>
      <c r="AZ141" s="3" t="s">
        <v>146</v>
      </c>
      <c r="BA141" s="3">
        <v>136</v>
      </c>
      <c r="BB141" s="3">
        <f t="shared" si="85"/>
        <v>1.0842745999888093</v>
      </c>
      <c r="BC141" s="3">
        <f t="shared" si="86"/>
        <v>1.0742411864194392</v>
      </c>
      <c r="BD141" s="3">
        <f t="shared" si="87"/>
        <v>1.0866368042206591</v>
      </c>
      <c r="BE141" s="3">
        <f t="shared" si="88"/>
        <v>1.0761537970852713</v>
      </c>
      <c r="BF141" s="3">
        <f t="shared" si="89"/>
        <v>1.0647091955445311</v>
      </c>
      <c r="BH141" s="3">
        <f t="shared" si="90"/>
        <v>1.1440363611587998E-2</v>
      </c>
      <c r="BI141" s="3">
        <f t="shared" si="91"/>
        <v>1.0995307897568626E-2</v>
      </c>
      <c r="BJ141" s="3">
        <f t="shared" si="92"/>
        <v>7.6512885050176865E-3</v>
      </c>
      <c r="BK141" s="3">
        <f t="shared" si="93"/>
        <v>1.540594606432022E-3</v>
      </c>
    </row>
    <row r="142" spans="1:63" x14ac:dyDescent="0.2">
      <c r="A142" s="3" t="s">
        <v>149</v>
      </c>
      <c r="B142" s="3">
        <v>77.099999999999994</v>
      </c>
      <c r="C142" s="3">
        <v>87.35</v>
      </c>
      <c r="D142" s="3">
        <v>17.54</v>
      </c>
      <c r="E142" s="3">
        <v>65.349999999999994</v>
      </c>
      <c r="F142" s="3">
        <v>57.4</v>
      </c>
      <c r="G142" s="3">
        <v>195.7</v>
      </c>
      <c r="H142" s="3">
        <v>43.3</v>
      </c>
      <c r="I142" s="3">
        <v>132.6</v>
      </c>
      <c r="J142" s="3">
        <v>12.48</v>
      </c>
      <c r="K142" s="3">
        <v>96.65</v>
      </c>
      <c r="L142" s="3">
        <v>28875.560547000001</v>
      </c>
      <c r="N142" s="3">
        <f t="shared" si="74"/>
        <v>7.7519768043181614E-3</v>
      </c>
      <c r="O142" s="3">
        <f t="shared" si="75"/>
        <v>7.981798362149739E-3</v>
      </c>
      <c r="P142" s="3">
        <f t="shared" si="76"/>
        <v>3.4149151000693045E-3</v>
      </c>
      <c r="Q142" s="3">
        <f t="shared" si="77"/>
        <v>2.2927025709753579E-3</v>
      </c>
      <c r="R142" s="3">
        <f t="shared" si="78"/>
        <v>-2.6166608911717404E-3</v>
      </c>
      <c r="S142" s="3">
        <f t="shared" si="79"/>
        <v>-3.5833158382834185E-3</v>
      </c>
      <c r="T142" s="3">
        <f t="shared" si="80"/>
        <v>1.7172717373744373E-2</v>
      </c>
      <c r="U142" s="3">
        <f t="shared" si="81"/>
        <v>1.571300566455669E-2</v>
      </c>
      <c r="V142" s="3">
        <f t="shared" si="82"/>
        <v>1.5898586067798259E-2</v>
      </c>
      <c r="W142" s="3">
        <f t="shared" si="83"/>
        <v>1.131699321113544E-2</v>
      </c>
      <c r="X142" s="3">
        <f t="shared" si="84"/>
        <v>-7.0741988013445223E-4</v>
      </c>
      <c r="AZ142" s="3" t="s">
        <v>147</v>
      </c>
      <c r="BA142" s="3">
        <v>137</v>
      </c>
      <c r="BB142" s="3">
        <f t="shared" si="85"/>
        <v>1.0967503230010278</v>
      </c>
      <c r="BC142" s="3">
        <f t="shared" si="86"/>
        <v>1.0861179738323692</v>
      </c>
      <c r="BD142" s="3">
        <f t="shared" si="87"/>
        <v>1.0949828642501405</v>
      </c>
      <c r="BE142" s="3">
        <f t="shared" si="88"/>
        <v>1.0778129915656205</v>
      </c>
      <c r="BF142" s="3">
        <f t="shared" si="89"/>
        <v>1.0797785440312373</v>
      </c>
      <c r="BH142" s="3">
        <f t="shared" si="90"/>
        <v>-6.9221307041116981E-3</v>
      </c>
      <c r="BI142" s="3">
        <f t="shared" si="91"/>
        <v>-7.2050418570380886E-3</v>
      </c>
      <c r="BJ142" s="3">
        <f t="shared" si="92"/>
        <v>-9.0206309536103868E-3</v>
      </c>
      <c r="BK142" s="3">
        <f t="shared" si="93"/>
        <v>-1.188847373704191E-2</v>
      </c>
    </row>
    <row r="143" spans="1:63" x14ac:dyDescent="0.2">
      <c r="A143" s="3" t="s">
        <v>150</v>
      </c>
      <c r="B143" s="3">
        <v>77.7</v>
      </c>
      <c r="C143" s="3">
        <v>88.05</v>
      </c>
      <c r="D143" s="3">
        <v>17.600000000000001</v>
      </c>
      <c r="E143" s="3">
        <v>65.5</v>
      </c>
      <c r="F143" s="3">
        <v>57.25</v>
      </c>
      <c r="G143" s="3">
        <v>195</v>
      </c>
      <c r="H143" s="3">
        <v>44.05</v>
      </c>
      <c r="I143" s="3">
        <v>134.69999999999999</v>
      </c>
      <c r="J143" s="3">
        <v>12.68</v>
      </c>
      <c r="K143" s="3">
        <v>97.75</v>
      </c>
      <c r="L143" s="3">
        <v>28855.140625</v>
      </c>
      <c r="N143" s="3">
        <f t="shared" si="74"/>
        <v>-1.9323677510536541E-3</v>
      </c>
      <c r="O143" s="3">
        <f t="shared" si="75"/>
        <v>-1.1363637586478958E-3</v>
      </c>
      <c r="P143" s="3">
        <f t="shared" si="76"/>
        <v>1.354422510775688E-2</v>
      </c>
      <c r="Q143" s="3">
        <f t="shared" si="77"/>
        <v>1.5255533088369688E-3</v>
      </c>
      <c r="R143" s="3">
        <f t="shared" si="78"/>
        <v>4.3573053689556218E-3</v>
      </c>
      <c r="S143" s="3">
        <f t="shared" si="79"/>
        <v>-5.129520502320517E-4</v>
      </c>
      <c r="T143" s="3">
        <f t="shared" si="80"/>
        <v>-3.4110323010629884E-3</v>
      </c>
      <c r="U143" s="3">
        <f t="shared" si="81"/>
        <v>1.1074310299092893E-2</v>
      </c>
      <c r="V143" s="3">
        <f t="shared" si="82"/>
        <v>-3.1595602903684572E-3</v>
      </c>
      <c r="W143" s="3">
        <f t="shared" si="83"/>
        <v>3.0643537768799689E-3</v>
      </c>
      <c r="X143" s="3">
        <f t="shared" si="84"/>
        <v>-2.0596765889173696E-3</v>
      </c>
      <c r="AZ143" s="3" t="s">
        <v>148</v>
      </c>
      <c r="BA143" s="3">
        <v>138</v>
      </c>
      <c r="BB143" s="3">
        <f t="shared" si="85"/>
        <v>1.0891846892776684</v>
      </c>
      <c r="BC143" s="3">
        <f t="shared" si="86"/>
        <v>1.0783205724030005</v>
      </c>
      <c r="BD143" s="3">
        <f t="shared" si="87"/>
        <v>1.0851498446292303</v>
      </c>
      <c r="BE143" s="3">
        <f t="shared" si="88"/>
        <v>1.0650753059662132</v>
      </c>
      <c r="BF143" s="3">
        <f t="shared" si="89"/>
        <v>1.0768056868910749</v>
      </c>
      <c r="BH143" s="3">
        <f t="shared" si="90"/>
        <v>9.809238688791716E-3</v>
      </c>
      <c r="BI143" s="3">
        <f t="shared" si="91"/>
        <v>1.0391116733212968E-2</v>
      </c>
      <c r="BJ143" s="3">
        <f t="shared" si="92"/>
        <v>1.5662954116294564E-2</v>
      </c>
      <c r="BK143" s="3">
        <f t="shared" si="93"/>
        <v>2.4275698829763326E-2</v>
      </c>
    </row>
    <row r="144" spans="1:63" x14ac:dyDescent="0.2">
      <c r="A144" s="3" t="s">
        <v>151</v>
      </c>
      <c r="B144" s="3">
        <v>77.55</v>
      </c>
      <c r="C144" s="3">
        <v>87.95</v>
      </c>
      <c r="D144" s="3">
        <v>17.84</v>
      </c>
      <c r="E144" s="3">
        <v>65.599999999999994</v>
      </c>
      <c r="F144" s="3">
        <v>57.5</v>
      </c>
      <c r="G144" s="3">
        <v>194.9</v>
      </c>
      <c r="H144" s="3">
        <v>43.9</v>
      </c>
      <c r="I144" s="3">
        <v>136.19999999999999</v>
      </c>
      <c r="J144" s="3">
        <v>12.64</v>
      </c>
      <c r="K144" s="3">
        <v>98.05</v>
      </c>
      <c r="L144" s="3">
        <v>28795.769531000002</v>
      </c>
      <c r="N144" s="3">
        <f t="shared" si="74"/>
        <v>6.4453756662530282E-4</v>
      </c>
      <c r="O144" s="3">
        <f t="shared" si="75"/>
        <v>3.4052246298381661E-3</v>
      </c>
      <c r="P144" s="3">
        <f t="shared" si="76"/>
        <v>3.3575856948457883E-3</v>
      </c>
      <c r="Q144" s="3">
        <f t="shared" si="77"/>
        <v>-2.2892035941346478E-3</v>
      </c>
      <c r="R144" s="3">
        <f t="shared" si="78"/>
        <v>0</v>
      </c>
      <c r="S144" s="3">
        <f t="shared" si="79"/>
        <v>5.129520502320517E-4</v>
      </c>
      <c r="T144" s="3">
        <f t="shared" si="80"/>
        <v>2.2753138371354176E-3</v>
      </c>
      <c r="U144" s="3">
        <f t="shared" si="81"/>
        <v>2.9325534212780724E-3</v>
      </c>
      <c r="V144" s="3">
        <f t="shared" si="82"/>
        <v>0</v>
      </c>
      <c r="W144" s="3">
        <f t="shared" si="83"/>
        <v>7.1138511388761927E-3</v>
      </c>
      <c r="X144" s="3">
        <f t="shared" si="84"/>
        <v>-7.2743567256772224E-4</v>
      </c>
      <c r="AZ144" s="3" t="s">
        <v>149</v>
      </c>
      <c r="BA144" s="3">
        <v>139</v>
      </c>
      <c r="BB144" s="3">
        <f t="shared" si="85"/>
        <v>1.0999213349400734</v>
      </c>
      <c r="BC144" s="3">
        <f t="shared" si="86"/>
        <v>1.0895839455120597</v>
      </c>
      <c r="BD144" s="3">
        <f t="shared" si="87"/>
        <v>1.1022803034362489</v>
      </c>
      <c r="BE144" s="3">
        <f t="shared" si="88"/>
        <v>1.0912471378155102</v>
      </c>
      <c r="BF144" s="3">
        <f t="shared" si="89"/>
        <v>1.0893663141275336</v>
      </c>
      <c r="BH144" s="3">
        <f t="shared" si="90"/>
        <v>7.8112854894835521E-3</v>
      </c>
      <c r="BI144" s="3">
        <f t="shared" si="91"/>
        <v>6.4227843146199559E-3</v>
      </c>
      <c r="BJ144" s="3">
        <f t="shared" si="92"/>
        <v>3.2817243487668901E-3</v>
      </c>
      <c r="BK144" s="3">
        <f t="shared" si="93"/>
        <v>-3.7998853700916962E-3</v>
      </c>
    </row>
    <row r="145" spans="1:63" x14ac:dyDescent="0.2">
      <c r="A145" s="3" t="s">
        <v>152</v>
      </c>
      <c r="B145" s="3">
        <v>77.599999999999994</v>
      </c>
      <c r="C145" s="3">
        <v>88.25</v>
      </c>
      <c r="D145" s="3">
        <v>17.899999999999999</v>
      </c>
      <c r="E145" s="3">
        <v>65.45</v>
      </c>
      <c r="F145" s="3">
        <v>57.5</v>
      </c>
      <c r="G145" s="3">
        <v>195</v>
      </c>
      <c r="H145" s="3">
        <v>44</v>
      </c>
      <c r="I145" s="3">
        <v>136.6</v>
      </c>
      <c r="J145" s="3">
        <v>12.64</v>
      </c>
      <c r="K145" s="3">
        <v>98.75</v>
      </c>
      <c r="L145" s="3">
        <v>28774.830077999999</v>
      </c>
      <c r="N145" s="3">
        <f t="shared" si="74"/>
        <v>-1.0362787035546717E-2</v>
      </c>
      <c r="O145" s="3">
        <f t="shared" si="75"/>
        <v>-7.9636370815450164E-3</v>
      </c>
      <c r="P145" s="3">
        <f t="shared" si="76"/>
        <v>-1.5766092338675541E-2</v>
      </c>
      <c r="Q145" s="3">
        <f t="shared" si="77"/>
        <v>-6.8992224602721919E-3</v>
      </c>
      <c r="R145" s="3">
        <f t="shared" si="78"/>
        <v>-7.8568714952202967E-3</v>
      </c>
      <c r="S145" s="3">
        <f t="shared" si="79"/>
        <v>-7.2053837212697758E-3</v>
      </c>
      <c r="T145" s="3">
        <f t="shared" si="80"/>
        <v>-2.1827403044521354E-2</v>
      </c>
      <c r="U145" s="3">
        <f t="shared" si="81"/>
        <v>-1.5492748094795949E-2</v>
      </c>
      <c r="V145" s="3">
        <f t="shared" si="82"/>
        <v>-2.0784121462261052E-2</v>
      </c>
      <c r="W145" s="3">
        <f t="shared" si="83"/>
        <v>-2.9806934289577924E-2</v>
      </c>
      <c r="X145" s="3">
        <f t="shared" si="84"/>
        <v>-1.5520102561888294E-2</v>
      </c>
      <c r="AZ145" s="3" t="s">
        <v>150</v>
      </c>
      <c r="BA145" s="3">
        <v>140</v>
      </c>
      <c r="BB145" s="3">
        <f t="shared" si="85"/>
        <v>1.1085467785469163</v>
      </c>
      <c r="BC145" s="3">
        <f t="shared" si="86"/>
        <v>1.0966046302237284</v>
      </c>
      <c r="BD145" s="3">
        <f t="shared" si="87"/>
        <v>1.1059036256677521</v>
      </c>
      <c r="BE145" s="3">
        <f t="shared" si="88"/>
        <v>1.0871083921409292</v>
      </c>
      <c r="BF145" s="3">
        <f t="shared" si="89"/>
        <v>1.0885959472587172</v>
      </c>
      <c r="BH145" s="3">
        <f t="shared" si="90"/>
        <v>2.5595146661655382E-3</v>
      </c>
      <c r="BI145" s="3">
        <f t="shared" si="91"/>
        <v>2.8888888994151041E-3</v>
      </c>
      <c r="BJ145" s="3">
        <f t="shared" si="92"/>
        <v>4.9083624616719362E-3</v>
      </c>
      <c r="BK145" s="3">
        <f t="shared" si="93"/>
        <v>8.024159859745153E-3</v>
      </c>
    </row>
    <row r="146" spans="1:63" x14ac:dyDescent="0.2">
      <c r="A146" s="3" t="s">
        <v>153</v>
      </c>
      <c r="B146" s="3">
        <v>76.8</v>
      </c>
      <c r="C146" s="3">
        <v>87.55</v>
      </c>
      <c r="D146" s="3">
        <v>17.62</v>
      </c>
      <c r="E146" s="3">
        <v>65</v>
      </c>
      <c r="F146" s="3">
        <v>57.05</v>
      </c>
      <c r="G146" s="3">
        <v>193.6</v>
      </c>
      <c r="H146" s="3">
        <v>43.05</v>
      </c>
      <c r="I146" s="3">
        <v>134.5</v>
      </c>
      <c r="J146" s="3">
        <v>12.38</v>
      </c>
      <c r="K146" s="3">
        <v>95.85</v>
      </c>
      <c r="L146" s="3">
        <v>28331.689452999999</v>
      </c>
      <c r="N146" s="3">
        <f t="shared" si="74"/>
        <v>-1.1787955752041945E-2</v>
      </c>
      <c r="O146" s="3">
        <f t="shared" si="75"/>
        <v>-2.8595958863038007E-3</v>
      </c>
      <c r="P146" s="3">
        <f t="shared" si="76"/>
        <v>-5.6915349997881393E-3</v>
      </c>
      <c r="Q146" s="3">
        <f t="shared" si="77"/>
        <v>-1.5396461855923249E-3</v>
      </c>
      <c r="R146" s="3">
        <f t="shared" si="78"/>
        <v>-3.5118561115394797E-3</v>
      </c>
      <c r="S146" s="3">
        <f t="shared" si="79"/>
        <v>0</v>
      </c>
      <c r="T146" s="3">
        <f t="shared" si="80"/>
        <v>-1.1682375854356497E-2</v>
      </c>
      <c r="U146" s="3">
        <f t="shared" si="81"/>
        <v>-2.331809299138321E-2</v>
      </c>
      <c r="V146" s="3">
        <f t="shared" si="82"/>
        <v>-1.4646315517239383E-2</v>
      </c>
      <c r="W146" s="3">
        <f t="shared" si="83"/>
        <v>-1.3126993433821177E-2</v>
      </c>
      <c r="X146" s="3">
        <f t="shared" si="84"/>
        <v>-7.6322038300240536E-3</v>
      </c>
      <c r="AZ146" s="3" t="s">
        <v>151</v>
      </c>
      <c r="BA146" s="3">
        <v>141</v>
      </c>
      <c r="BB146" s="3">
        <f t="shared" si="85"/>
        <v>1.1113877544935753</v>
      </c>
      <c r="BC146" s="3">
        <f t="shared" si="86"/>
        <v>1.0997771795318456</v>
      </c>
      <c r="BD146" s="3">
        <f t="shared" si="87"/>
        <v>1.1113451450602041</v>
      </c>
      <c r="BE146" s="3">
        <f t="shared" si="88"/>
        <v>1.0958666153629195</v>
      </c>
      <c r="BF146" s="3">
        <f t="shared" si="89"/>
        <v>1.0863560991445576</v>
      </c>
      <c r="BH146" s="3">
        <f t="shared" si="90"/>
        <v>1.8877456592716335E-3</v>
      </c>
      <c r="BI146" s="3">
        <f t="shared" si="91"/>
        <v>1.7186665111550842E-3</v>
      </c>
      <c r="BJ146" s="3">
        <f t="shared" si="92"/>
        <v>1.8499822477253125E-3</v>
      </c>
      <c r="BK146" s="3">
        <f t="shared" si="93"/>
        <v>1.6446081167779125E-3</v>
      </c>
    </row>
    <row r="147" spans="1:63" x14ac:dyDescent="0.2">
      <c r="A147" s="3" t="s">
        <v>154</v>
      </c>
      <c r="B147" s="3">
        <v>75.900000000000006</v>
      </c>
      <c r="C147" s="3">
        <v>87.3</v>
      </c>
      <c r="D147" s="3">
        <v>17.52</v>
      </c>
      <c r="E147" s="3">
        <v>64.900000000000006</v>
      </c>
      <c r="F147" s="3">
        <v>56.85</v>
      </c>
      <c r="G147" s="3">
        <v>193.6</v>
      </c>
      <c r="H147" s="3">
        <v>42.55</v>
      </c>
      <c r="I147" s="3">
        <v>131.4</v>
      </c>
      <c r="J147" s="3">
        <v>12.2</v>
      </c>
      <c r="K147" s="3">
        <v>94.6</v>
      </c>
      <c r="L147" s="3">
        <v>28116.279297000001</v>
      </c>
      <c r="N147" s="3">
        <f t="shared" si="74"/>
        <v>-1.318391753258652E-3</v>
      </c>
      <c r="O147" s="3">
        <f t="shared" si="75"/>
        <v>0</v>
      </c>
      <c r="P147" s="3">
        <f t="shared" si="76"/>
        <v>4.5558165358610125E-3</v>
      </c>
      <c r="Q147" s="3">
        <f t="shared" si="77"/>
        <v>0</v>
      </c>
      <c r="R147" s="3">
        <f t="shared" si="78"/>
        <v>1.1368727606759776E-2</v>
      </c>
      <c r="S147" s="3">
        <f t="shared" si="79"/>
        <v>3.6091815409173833E-3</v>
      </c>
      <c r="T147" s="3">
        <f t="shared" si="80"/>
        <v>-1.1757790890118969E-3</v>
      </c>
      <c r="U147" s="3">
        <f t="shared" si="81"/>
        <v>2.2805026987251509E-3</v>
      </c>
      <c r="V147" s="3">
        <f t="shared" si="82"/>
        <v>0</v>
      </c>
      <c r="W147" s="3">
        <f t="shared" si="83"/>
        <v>2.6392203231910827E-3</v>
      </c>
      <c r="X147" s="3">
        <f t="shared" si="84"/>
        <v>3.1395137754355318E-3</v>
      </c>
      <c r="AZ147" s="3" t="s">
        <v>152</v>
      </c>
      <c r="BA147" s="3">
        <v>142</v>
      </c>
      <c r="BB147" s="3">
        <f t="shared" si="85"/>
        <v>1.113487753411182</v>
      </c>
      <c r="BC147" s="3">
        <f t="shared" si="86"/>
        <v>1.101668954939897</v>
      </c>
      <c r="BD147" s="3">
        <f t="shared" si="87"/>
        <v>1.1134030167758213</v>
      </c>
      <c r="BE147" s="3">
        <f t="shared" si="88"/>
        <v>1.097670369321095</v>
      </c>
      <c r="BF147" s="3">
        <f t="shared" si="89"/>
        <v>1.0855661323247852</v>
      </c>
      <c r="BH147" s="3">
        <f t="shared" si="90"/>
        <v>-1.4788281343416018E-2</v>
      </c>
      <c r="BI147" s="3">
        <f t="shared" si="91"/>
        <v>-1.3627096602123703E-2</v>
      </c>
      <c r="BJ147" s="3">
        <f t="shared" si="92"/>
        <v>-1.0570612726432602E-2</v>
      </c>
      <c r="BK147" s="3">
        <f t="shared" si="93"/>
        <v>-4.386879981500641E-3</v>
      </c>
    </row>
    <row r="148" spans="1:63" x14ac:dyDescent="0.2">
      <c r="A148" s="3" t="s">
        <v>155</v>
      </c>
      <c r="B148" s="3">
        <v>75.8</v>
      </c>
      <c r="C148" s="3">
        <v>87.3</v>
      </c>
      <c r="D148" s="3">
        <v>17.600000000000001</v>
      </c>
      <c r="E148" s="3">
        <v>64.900000000000006</v>
      </c>
      <c r="F148" s="3">
        <v>57.5</v>
      </c>
      <c r="G148" s="3">
        <v>194.3</v>
      </c>
      <c r="H148" s="3">
        <v>42.5</v>
      </c>
      <c r="I148" s="3">
        <v>131.69999999999999</v>
      </c>
      <c r="J148" s="3">
        <v>12.2</v>
      </c>
      <c r="K148" s="3">
        <v>94.85</v>
      </c>
      <c r="L148" s="3">
        <v>28204.689452999999</v>
      </c>
      <c r="N148" s="3">
        <f t="shared" si="74"/>
        <v>5.9191228391952677E-3</v>
      </c>
      <c r="O148" s="3">
        <f t="shared" si="75"/>
        <v>5.7110377955140734E-3</v>
      </c>
      <c r="P148" s="3">
        <f t="shared" si="76"/>
        <v>9.0498355199177816E-3</v>
      </c>
      <c r="Q148" s="3">
        <f t="shared" si="77"/>
        <v>4.6118452225627493E-3</v>
      </c>
      <c r="R148" s="3">
        <f t="shared" si="78"/>
        <v>8.6580627431143142E-3</v>
      </c>
      <c r="S148" s="3">
        <f t="shared" si="79"/>
        <v>2.0565559947591794E-3</v>
      </c>
      <c r="T148" s="3">
        <f t="shared" si="80"/>
        <v>1.633641931969354E-2</v>
      </c>
      <c r="U148" s="3">
        <f t="shared" si="81"/>
        <v>2.1780808461391743E-2</v>
      </c>
      <c r="V148" s="3">
        <f t="shared" si="82"/>
        <v>1.6260520871780315E-2</v>
      </c>
      <c r="W148" s="3">
        <f t="shared" si="83"/>
        <v>9.4439316797325645E-3</v>
      </c>
      <c r="X148" s="3">
        <f t="shared" si="84"/>
        <v>8.0200077507264211E-3</v>
      </c>
      <c r="AZ148" s="3" t="s">
        <v>153</v>
      </c>
      <c r="BA148" s="3">
        <v>143</v>
      </c>
      <c r="BB148" s="3">
        <f t="shared" si="85"/>
        <v>1.0971423414018973</v>
      </c>
      <c r="BC148" s="3">
        <f t="shared" si="86"/>
        <v>1.0867582313427557</v>
      </c>
      <c r="BD148" s="3">
        <f t="shared" si="87"/>
        <v>1.1016956507062197</v>
      </c>
      <c r="BE148" s="3">
        <f t="shared" si="88"/>
        <v>1.0928655679008008</v>
      </c>
      <c r="BF148" s="3">
        <f t="shared" si="89"/>
        <v>1.0688481029549077</v>
      </c>
      <c r="BH148" s="3">
        <f t="shared" si="90"/>
        <v>-9.081507672504166E-3</v>
      </c>
      <c r="BI148" s="3">
        <f t="shared" si="91"/>
        <v>-7.83829773571805E-3</v>
      </c>
      <c r="BJ148" s="3">
        <f t="shared" si="92"/>
        <v>-5.5207020297106529E-3</v>
      </c>
      <c r="BK148" s="3">
        <f t="shared" si="93"/>
        <v>-3.3715508817876161E-4</v>
      </c>
    </row>
    <row r="149" spans="1:63" x14ac:dyDescent="0.2">
      <c r="A149" s="3" t="s">
        <v>156</v>
      </c>
      <c r="B149" s="3">
        <v>76.25</v>
      </c>
      <c r="C149" s="3">
        <v>87.8</v>
      </c>
      <c r="D149" s="3">
        <v>17.760000000000002</v>
      </c>
      <c r="E149" s="3">
        <v>65.2</v>
      </c>
      <c r="F149" s="3">
        <v>58</v>
      </c>
      <c r="G149" s="3">
        <v>194.7</v>
      </c>
      <c r="H149" s="3">
        <v>43.2</v>
      </c>
      <c r="I149" s="3">
        <v>134.6</v>
      </c>
      <c r="J149" s="3">
        <v>12.4</v>
      </c>
      <c r="K149" s="3">
        <v>95.75</v>
      </c>
      <c r="L149" s="3">
        <v>28431.800781000002</v>
      </c>
      <c r="N149" s="3">
        <f t="shared" si="74"/>
        <v>-6.5595279492036696E-4</v>
      </c>
      <c r="O149" s="3">
        <f t="shared" si="75"/>
        <v>0</v>
      </c>
      <c r="P149" s="3">
        <f t="shared" si="76"/>
        <v>1.1254925217345502E-3</v>
      </c>
      <c r="Q149" s="3">
        <f t="shared" si="77"/>
        <v>0</v>
      </c>
      <c r="R149" s="3">
        <f t="shared" si="78"/>
        <v>-5.1858370323651926E-3</v>
      </c>
      <c r="S149" s="3">
        <f t="shared" si="79"/>
        <v>2.0523352509123072E-3</v>
      </c>
      <c r="T149" s="3">
        <f t="shared" si="80"/>
        <v>6.9204428445734933E-3</v>
      </c>
      <c r="U149" s="3">
        <f t="shared" si="81"/>
        <v>1.4847812675791161E-3</v>
      </c>
      <c r="V149" s="3">
        <f t="shared" si="82"/>
        <v>1.6116038943416733E-3</v>
      </c>
      <c r="W149" s="3">
        <f t="shared" si="83"/>
        <v>-1.0449321744934181E-3</v>
      </c>
      <c r="X149" s="3">
        <f t="shared" si="84"/>
        <v>1.3995069735237564E-3</v>
      </c>
      <c r="AZ149" s="3" t="s">
        <v>154</v>
      </c>
      <c r="BA149" s="3">
        <v>144</v>
      </c>
      <c r="BB149" s="3">
        <f t="shared" si="85"/>
        <v>1.0872237409025085</v>
      </c>
      <c r="BC149" s="3">
        <f t="shared" si="86"/>
        <v>1.0782731943245478</v>
      </c>
      <c r="BD149" s="3">
        <f t="shared" si="87"/>
        <v>1.0956302752616176</v>
      </c>
      <c r="BE149" s="3">
        <f t="shared" si="88"/>
        <v>1.0924971648218638</v>
      </c>
      <c r="BF149" s="3">
        <f t="shared" si="89"/>
        <v>1.0607214878097089</v>
      </c>
      <c r="BH149" s="3">
        <f t="shared" si="90"/>
        <v>2.2699128510136751E-3</v>
      </c>
      <c r="BI149" s="3">
        <f t="shared" si="91"/>
        <v>2.7900207534122951E-3</v>
      </c>
      <c r="BJ149" s="3">
        <f t="shared" si="92"/>
        <v>5.8532438556280902E-3</v>
      </c>
      <c r="BK149" s="3">
        <f t="shared" si="93"/>
        <v>1.1191795162048282E-2</v>
      </c>
    </row>
    <row r="150" spans="1:63" x14ac:dyDescent="0.2">
      <c r="A150" s="3" t="s">
        <v>157</v>
      </c>
      <c r="B150" s="3">
        <v>76.2</v>
      </c>
      <c r="C150" s="3">
        <v>87.8</v>
      </c>
      <c r="D150" s="3">
        <v>17.78</v>
      </c>
      <c r="E150" s="3">
        <v>65.2</v>
      </c>
      <c r="F150" s="3">
        <v>57.7</v>
      </c>
      <c r="G150" s="3">
        <v>195.1</v>
      </c>
      <c r="H150" s="3">
        <v>43.5</v>
      </c>
      <c r="I150" s="3">
        <v>134.80000000000001</v>
      </c>
      <c r="J150" s="3">
        <v>12.42</v>
      </c>
      <c r="K150" s="3">
        <v>95.65</v>
      </c>
      <c r="L150" s="3">
        <v>28471.619140999999</v>
      </c>
      <c r="N150" s="3">
        <f t="shared" si="74"/>
        <v>3.275469682471055E-3</v>
      </c>
      <c r="O150" s="3">
        <f t="shared" si="75"/>
        <v>3.4110323010629884E-3</v>
      </c>
      <c r="P150" s="3">
        <f t="shared" si="76"/>
        <v>-6.7720349099449351E-3</v>
      </c>
      <c r="Q150" s="3">
        <f t="shared" si="77"/>
        <v>-3.0721990369704244E-3</v>
      </c>
      <c r="R150" s="3">
        <f t="shared" si="78"/>
        <v>8.6617588784942967E-4</v>
      </c>
      <c r="S150" s="3">
        <f t="shared" si="79"/>
        <v>-2.0523352509123072E-3</v>
      </c>
      <c r="T150" s="3">
        <f t="shared" si="80"/>
        <v>-2.3014969882790837E-3</v>
      </c>
      <c r="U150" s="3">
        <f t="shared" si="81"/>
        <v>2.9629651306573024E-3</v>
      </c>
      <c r="V150" s="3">
        <f t="shared" si="82"/>
        <v>-4.8426244757879822E-3</v>
      </c>
      <c r="W150" s="3">
        <f t="shared" si="83"/>
        <v>-1.2095861386565154E-2</v>
      </c>
      <c r="X150" s="3">
        <f t="shared" si="84"/>
        <v>2.9201082712280169E-3</v>
      </c>
      <c r="AZ150" s="3" t="s">
        <v>155</v>
      </c>
      <c r="BA150" s="3">
        <v>145</v>
      </c>
      <c r="BB150" s="3">
        <f t="shared" si="85"/>
        <v>1.089694447126955</v>
      </c>
      <c r="BC150" s="3">
        <f t="shared" si="86"/>
        <v>1.0812857995759175</v>
      </c>
      <c r="BD150" s="3">
        <f t="shared" si="87"/>
        <v>1.1020620715112559</v>
      </c>
      <c r="BE150" s="3">
        <f t="shared" si="88"/>
        <v>1.104792846337779</v>
      </c>
      <c r="BF150" s="3">
        <f t="shared" si="89"/>
        <v>1.0640568705329774</v>
      </c>
      <c r="BH150" s="3">
        <f t="shared" si="90"/>
        <v>1.0331431910746772E-2</v>
      </c>
      <c r="BI150" s="3">
        <f t="shared" si="91"/>
        <v>9.4302358759862509E-3</v>
      </c>
      <c r="BJ150" s="3">
        <f t="shared" si="92"/>
        <v>8.9141722197703804E-3</v>
      </c>
      <c r="BK150" s="3">
        <f t="shared" si="93"/>
        <v>6.4844080777744367E-3</v>
      </c>
    </row>
    <row r="151" spans="1:63" x14ac:dyDescent="0.2">
      <c r="A151" s="3" t="s">
        <v>158</v>
      </c>
      <c r="B151" s="3">
        <v>76.45</v>
      </c>
      <c r="C151" s="3">
        <v>88.1</v>
      </c>
      <c r="D151" s="3">
        <v>17.66</v>
      </c>
      <c r="E151" s="3">
        <v>65</v>
      </c>
      <c r="F151" s="3">
        <v>57.75</v>
      </c>
      <c r="G151" s="3">
        <v>194.7</v>
      </c>
      <c r="H151" s="3">
        <v>43.4</v>
      </c>
      <c r="I151" s="3">
        <v>135.19999999999999</v>
      </c>
      <c r="J151" s="3">
        <v>12.36</v>
      </c>
      <c r="K151" s="3">
        <v>94.5</v>
      </c>
      <c r="L151" s="3">
        <v>28554.880859000001</v>
      </c>
      <c r="N151" s="3">
        <f t="shared" si="74"/>
        <v>5.2185376095330582E-3</v>
      </c>
      <c r="O151" s="3">
        <f t="shared" si="75"/>
        <v>-5.1209215748908576E-3</v>
      </c>
      <c r="P151" s="3">
        <f t="shared" si="76"/>
        <v>1.1318620336835394E-3</v>
      </c>
      <c r="Q151" s="3">
        <f t="shared" si="77"/>
        <v>1.5372793188870304E-3</v>
      </c>
      <c r="R151" s="3">
        <f t="shared" si="78"/>
        <v>-3.4692142340118082E-3</v>
      </c>
      <c r="S151" s="3">
        <f t="shared" si="79"/>
        <v>2.0523352509123072E-3</v>
      </c>
      <c r="T151" s="3">
        <f t="shared" si="80"/>
        <v>0</v>
      </c>
      <c r="U151" s="3">
        <f t="shared" si="81"/>
        <v>4.4280515157320011E-3</v>
      </c>
      <c r="V151" s="3">
        <f t="shared" si="82"/>
        <v>8.0580613297622783E-3</v>
      </c>
      <c r="W151" s="3">
        <f t="shared" si="83"/>
        <v>-4.2417879083629373E-3</v>
      </c>
      <c r="X151" s="3">
        <f t="shared" si="84"/>
        <v>2.2645868233830413E-3</v>
      </c>
      <c r="AZ151" s="3" t="s">
        <v>156</v>
      </c>
      <c r="BA151" s="3">
        <v>146</v>
      </c>
      <c r="BB151" s="3">
        <f t="shared" si="85"/>
        <v>1.1010109080755337</v>
      </c>
      <c r="BC151" s="3">
        <f t="shared" si="86"/>
        <v>1.0915308102253631</v>
      </c>
      <c r="BD151" s="3">
        <f t="shared" si="87"/>
        <v>1.1119299592953553</v>
      </c>
      <c r="BE151" s="3">
        <f t="shared" si="88"/>
        <v>1.1119800511957805</v>
      </c>
      <c r="BF151" s="3">
        <f t="shared" si="89"/>
        <v>1.0726249268959793</v>
      </c>
      <c r="BH151" s="3">
        <f t="shared" si="90"/>
        <v>7.3408105515729294E-4</v>
      </c>
      <c r="BI151" s="3">
        <f t="shared" si="91"/>
        <v>2.7168607983742155E-4</v>
      </c>
      <c r="BJ151" s="3">
        <f t="shared" si="92"/>
        <v>-1.5517552126172868E-3</v>
      </c>
      <c r="BK151" s="3">
        <f t="shared" si="93"/>
        <v>-5.3351434734978248E-3</v>
      </c>
    </row>
    <row r="152" spans="1:63" x14ac:dyDescent="0.2">
      <c r="A152" s="3" t="s">
        <v>159</v>
      </c>
      <c r="B152" s="3">
        <v>76.849999999999994</v>
      </c>
      <c r="C152" s="3">
        <v>87.65</v>
      </c>
      <c r="D152" s="3">
        <v>17.68</v>
      </c>
      <c r="E152" s="3">
        <v>65.099999999999994</v>
      </c>
      <c r="F152" s="3">
        <v>57.55</v>
      </c>
      <c r="G152" s="3">
        <v>195.1</v>
      </c>
      <c r="H152" s="3">
        <v>43.4</v>
      </c>
      <c r="I152" s="3">
        <v>135.80000000000001</v>
      </c>
      <c r="J152" s="3">
        <v>12.46</v>
      </c>
      <c r="K152" s="3">
        <v>94.1</v>
      </c>
      <c r="L152" s="3">
        <v>28619.619140999999</v>
      </c>
      <c r="N152" s="3">
        <f t="shared" si="74"/>
        <v>1.3003903002832828E-3</v>
      </c>
      <c r="O152" s="3">
        <f t="shared" si="75"/>
        <v>-2.8563287057536968E-3</v>
      </c>
      <c r="P152" s="3">
        <f t="shared" si="76"/>
        <v>0</v>
      </c>
      <c r="Q152" s="3">
        <f t="shared" si="77"/>
        <v>-1.5372793188870304E-3</v>
      </c>
      <c r="R152" s="3">
        <f t="shared" si="78"/>
        <v>5.1993184717940011E-3</v>
      </c>
      <c r="S152" s="3">
        <f t="shared" si="79"/>
        <v>2.5595099716513303E-3</v>
      </c>
      <c r="T152" s="3">
        <f t="shared" si="80"/>
        <v>3.4502621921523868E-3</v>
      </c>
      <c r="U152" s="3">
        <f t="shared" si="81"/>
        <v>1.4716706114565881E-3</v>
      </c>
      <c r="V152" s="3">
        <f t="shared" si="82"/>
        <v>3.2051309489484758E-3</v>
      </c>
      <c r="W152" s="3">
        <f t="shared" si="83"/>
        <v>5.8278310639980901E-3</v>
      </c>
      <c r="X152" s="3">
        <f t="shared" si="84"/>
        <v>-9.2459120827292907E-4</v>
      </c>
      <c r="AZ152" s="3" t="s">
        <v>157</v>
      </c>
      <c r="BA152" s="3">
        <v>147</v>
      </c>
      <c r="BB152" s="3">
        <f t="shared" si="85"/>
        <v>1.1018194360509002</v>
      </c>
      <c r="BC152" s="3">
        <f t="shared" si="86"/>
        <v>1.0918274042406233</v>
      </c>
      <c r="BD152" s="3">
        <f t="shared" si="87"/>
        <v>1.1102058542254305</v>
      </c>
      <c r="BE152" s="3">
        <f t="shared" si="88"/>
        <v>1.1060632755409578</v>
      </c>
      <c r="BF152" s="3">
        <f t="shared" si="89"/>
        <v>1.074127123883539</v>
      </c>
      <c r="BH152" s="3">
        <f t="shared" si="90"/>
        <v>-2.2023206755933528E-3</v>
      </c>
      <c r="BI152" s="3">
        <f t="shared" si="91"/>
        <v>-1.9708835415565978E-3</v>
      </c>
      <c r="BJ152" s="3">
        <f t="shared" si="92"/>
        <v>8.9343542039321822E-5</v>
      </c>
      <c r="BK152" s="3">
        <f t="shared" si="93"/>
        <v>3.2731164086512166E-3</v>
      </c>
    </row>
    <row r="153" spans="1:63" x14ac:dyDescent="0.2">
      <c r="A153" s="3" t="s">
        <v>160</v>
      </c>
      <c r="B153" s="3">
        <v>76.95</v>
      </c>
      <c r="C153" s="3">
        <v>87.4</v>
      </c>
      <c r="D153" s="3">
        <v>17.68</v>
      </c>
      <c r="E153" s="3">
        <v>65</v>
      </c>
      <c r="F153" s="3">
        <v>57.85</v>
      </c>
      <c r="G153" s="3">
        <v>195.6</v>
      </c>
      <c r="H153" s="3">
        <v>43.55</v>
      </c>
      <c r="I153" s="3">
        <v>136</v>
      </c>
      <c r="J153" s="3">
        <v>12.5</v>
      </c>
      <c r="K153" s="3">
        <v>94.65</v>
      </c>
      <c r="L153" s="3">
        <v>28593.169922000001</v>
      </c>
      <c r="N153" s="3">
        <f t="shared" si="74"/>
        <v>-1.3003903002832828E-3</v>
      </c>
      <c r="O153" s="3">
        <f t="shared" si="75"/>
        <v>-2.2909517465556917E-3</v>
      </c>
      <c r="P153" s="3">
        <f t="shared" si="76"/>
        <v>0</v>
      </c>
      <c r="Q153" s="3">
        <f t="shared" si="77"/>
        <v>-3.8535693159893469E-3</v>
      </c>
      <c r="R153" s="3">
        <f t="shared" si="78"/>
        <v>-6.0685058363807443E-3</v>
      </c>
      <c r="S153" s="3">
        <f t="shared" si="79"/>
        <v>-1.5349197180842822E-3</v>
      </c>
      <c r="T153" s="3">
        <f t="shared" si="80"/>
        <v>-1.1487652038733032E-3</v>
      </c>
      <c r="U153" s="3">
        <f t="shared" si="81"/>
        <v>-5.8997221271885891E-3</v>
      </c>
      <c r="V153" s="3">
        <f t="shared" si="82"/>
        <v>-1.2882625831013961E-2</v>
      </c>
      <c r="W153" s="3">
        <f t="shared" si="83"/>
        <v>-6.8910953853285051E-3</v>
      </c>
      <c r="X153" s="3">
        <f t="shared" si="84"/>
        <v>-4.6099514701953836E-3</v>
      </c>
      <c r="AZ153" s="3" t="s">
        <v>158</v>
      </c>
      <c r="BA153" s="3">
        <v>148</v>
      </c>
      <c r="BB153" s="3">
        <f t="shared" si="85"/>
        <v>1.0993955463969638</v>
      </c>
      <c r="BC153" s="3">
        <f t="shared" si="86"/>
        <v>1.0896776587242827</v>
      </c>
      <c r="BD153" s="3">
        <f t="shared" si="87"/>
        <v>1.1103050483799524</v>
      </c>
      <c r="BE153" s="3">
        <f t="shared" si="88"/>
        <v>1.1096894806554862</v>
      </c>
      <c r="BF153" s="3">
        <f t="shared" si="89"/>
        <v>1.0772682754015488</v>
      </c>
      <c r="BH153" s="3">
        <f t="shared" si="90"/>
        <v>1.0241668853268743E-3</v>
      </c>
      <c r="BI153" s="3">
        <f t="shared" si="91"/>
        <v>4.8224821180627153E-4</v>
      </c>
      <c r="BJ153" s="3">
        <f t="shared" si="92"/>
        <v>-1.5499476681818392E-3</v>
      </c>
      <c r="BK153" s="3">
        <f t="shared" si="93"/>
        <v>-5.3294737277063409E-3</v>
      </c>
    </row>
    <row r="154" spans="1:63" x14ac:dyDescent="0.2">
      <c r="A154" s="3" t="s">
        <v>161</v>
      </c>
      <c r="B154" s="3">
        <v>76.849999999999994</v>
      </c>
      <c r="C154" s="3">
        <v>87.2</v>
      </c>
      <c r="D154" s="3">
        <v>17.68</v>
      </c>
      <c r="E154" s="3">
        <v>64.75</v>
      </c>
      <c r="F154" s="3">
        <v>57.5</v>
      </c>
      <c r="G154" s="3">
        <v>195.3</v>
      </c>
      <c r="H154" s="3">
        <v>43.5</v>
      </c>
      <c r="I154" s="3">
        <v>135.19999999999999</v>
      </c>
      <c r="J154" s="3">
        <v>12.34</v>
      </c>
      <c r="K154" s="3">
        <v>94</v>
      </c>
      <c r="L154" s="3">
        <v>28461.660156000002</v>
      </c>
      <c r="N154" s="3">
        <f t="shared" si="74"/>
        <v>3.2478105846784899E-3</v>
      </c>
      <c r="O154" s="3">
        <f t="shared" si="75"/>
        <v>7.4264837181727827E-3</v>
      </c>
      <c r="P154" s="3">
        <f t="shared" si="76"/>
        <v>4.5146803545268455E-3</v>
      </c>
      <c r="Q154" s="3">
        <f t="shared" si="77"/>
        <v>4.6225043788670206E-3</v>
      </c>
      <c r="R154" s="3">
        <f t="shared" si="78"/>
        <v>1.4674410929259807E-2</v>
      </c>
      <c r="S154" s="3">
        <f t="shared" si="79"/>
        <v>7.142887512380014E-3</v>
      </c>
      <c r="T154" s="3">
        <f t="shared" si="80"/>
        <v>4.5871640069061748E-3</v>
      </c>
      <c r="U154" s="3">
        <f t="shared" si="81"/>
        <v>4.4280515157320011E-3</v>
      </c>
      <c r="V154" s="3">
        <f t="shared" si="82"/>
        <v>6.4620580280911888E-3</v>
      </c>
      <c r="W154" s="3">
        <f t="shared" si="83"/>
        <v>4.2462908814515643E-3</v>
      </c>
      <c r="X154" s="3">
        <f t="shared" si="84"/>
        <v>1.0615365680632038E-2</v>
      </c>
      <c r="AZ154" s="3" t="s">
        <v>159</v>
      </c>
      <c r="BA154" s="3">
        <v>149</v>
      </c>
      <c r="BB154" s="3">
        <f t="shared" si="85"/>
        <v>1.1005220876941344</v>
      </c>
      <c r="BC154" s="3">
        <f t="shared" si="86"/>
        <v>1.0902032805565554</v>
      </c>
      <c r="BD154" s="3">
        <f t="shared" si="87"/>
        <v>1.1085854666343551</v>
      </c>
      <c r="BE154" s="3">
        <f t="shared" si="88"/>
        <v>1.1037911511794012</v>
      </c>
      <c r="BF154" s="3">
        <f t="shared" si="89"/>
        <v>1.0797106073358673</v>
      </c>
      <c r="BH154" s="3">
        <f t="shared" si="90"/>
        <v>1.9351175613789573E-3</v>
      </c>
      <c r="BI154" s="3">
        <f t="shared" si="91"/>
        <v>1.7690599820425895E-3</v>
      </c>
      <c r="BJ154" s="3">
        <f t="shared" si="92"/>
        <v>1.7671123892070983E-3</v>
      </c>
      <c r="BK154" s="3">
        <f t="shared" si="93"/>
        <v>1.8245848422099031E-3</v>
      </c>
    </row>
    <row r="155" spans="1:63" x14ac:dyDescent="0.2">
      <c r="A155" s="3" t="s">
        <v>162</v>
      </c>
      <c r="B155" s="3">
        <v>77.099999999999994</v>
      </c>
      <c r="C155" s="3">
        <v>87.85</v>
      </c>
      <c r="D155" s="3">
        <v>17.760000000000002</v>
      </c>
      <c r="E155" s="3">
        <v>65.05</v>
      </c>
      <c r="F155" s="3">
        <v>58.35</v>
      </c>
      <c r="G155" s="3">
        <v>196.7</v>
      </c>
      <c r="H155" s="3">
        <v>43.7</v>
      </c>
      <c r="I155" s="3">
        <v>135.80000000000001</v>
      </c>
      <c r="J155" s="3">
        <v>12.42</v>
      </c>
      <c r="K155" s="3">
        <v>94.4</v>
      </c>
      <c r="L155" s="3">
        <v>28765.400390999999</v>
      </c>
      <c r="N155" s="3">
        <f t="shared" si="74"/>
        <v>-1.2398201228112526E-2</v>
      </c>
      <c r="O155" s="3">
        <f t="shared" si="75"/>
        <v>-8.5739307746495186E-3</v>
      </c>
      <c r="P155" s="3">
        <f t="shared" si="76"/>
        <v>-1.018684530699332E-2</v>
      </c>
      <c r="Q155" s="3">
        <f t="shared" si="77"/>
        <v>-9.2664755733178339E-3</v>
      </c>
      <c r="R155" s="3">
        <f t="shared" si="78"/>
        <v>-1.5544354437800223E-2</v>
      </c>
      <c r="S155" s="3">
        <f t="shared" si="79"/>
        <v>-1.3306235220048812E-2</v>
      </c>
      <c r="T155" s="3">
        <f t="shared" si="80"/>
        <v>-1.8476276167573413E-2</v>
      </c>
      <c r="U155" s="3">
        <f t="shared" si="81"/>
        <v>-2.6111144003685638E-2</v>
      </c>
      <c r="V155" s="3">
        <f t="shared" si="82"/>
        <v>-2.4451095864164607E-2</v>
      </c>
      <c r="W155" s="3">
        <f t="shared" si="83"/>
        <v>7.3878963998890157E-3</v>
      </c>
      <c r="X155" s="3">
        <f t="shared" si="84"/>
        <v>-1.3796636900389458E-2</v>
      </c>
      <c r="AZ155" s="3" t="s">
        <v>160</v>
      </c>
      <c r="BA155" s="3">
        <v>150</v>
      </c>
      <c r="BB155" s="3">
        <f t="shared" si="85"/>
        <v>1.1026537891940091</v>
      </c>
      <c r="BC155" s="3">
        <f t="shared" si="86"/>
        <v>1.0921336224943876</v>
      </c>
      <c r="BD155" s="3">
        <f t="shared" si="87"/>
        <v>1.1105461936492116</v>
      </c>
      <c r="BE155" s="3">
        <f t="shared" si="88"/>
        <v>1.1058069502217627</v>
      </c>
      <c r="BF155" s="3">
        <f t="shared" si="89"/>
        <v>1.0787127777641545</v>
      </c>
      <c r="BH155" s="3">
        <f t="shared" si="90"/>
        <v>-4.2542309980283799E-3</v>
      </c>
      <c r="BI155" s="3">
        <f t="shared" si="91"/>
        <v>-3.8903045268715852E-3</v>
      </c>
      <c r="BJ155" s="3">
        <f t="shared" si="92"/>
        <v>-3.346732618649581E-3</v>
      </c>
      <c r="BK155" s="3">
        <f t="shared" si="93"/>
        <v>-2.3430047031045148E-3</v>
      </c>
    </row>
    <row r="156" spans="1:63" x14ac:dyDescent="0.2">
      <c r="A156" s="3" t="s">
        <v>163</v>
      </c>
      <c r="B156" s="3">
        <v>76.150000000000006</v>
      </c>
      <c r="C156" s="3">
        <v>87.1</v>
      </c>
      <c r="D156" s="3">
        <v>17.579999999999998</v>
      </c>
      <c r="E156" s="3">
        <v>64.45</v>
      </c>
      <c r="F156" s="3">
        <v>57.45</v>
      </c>
      <c r="G156" s="3">
        <v>194.1</v>
      </c>
      <c r="H156" s="3">
        <v>42.9</v>
      </c>
      <c r="I156" s="3">
        <v>132.30000000000001</v>
      </c>
      <c r="J156" s="3">
        <v>12.12</v>
      </c>
      <c r="K156" s="3">
        <v>95.1</v>
      </c>
      <c r="L156" s="3">
        <v>28371.259765999999</v>
      </c>
      <c r="N156" s="3">
        <f t="shared" si="74"/>
        <v>6.5638335142992332E-4</v>
      </c>
      <c r="O156" s="3">
        <f t="shared" si="75"/>
        <v>-5.7421764425935606E-4</v>
      </c>
      <c r="P156" s="3">
        <f t="shared" si="76"/>
        <v>2.2727282510026647E-3</v>
      </c>
      <c r="Q156" s="3">
        <f t="shared" si="77"/>
        <v>4.6439711944508133E-3</v>
      </c>
      <c r="R156" s="3">
        <f t="shared" si="78"/>
        <v>8.6655654909968405E-3</v>
      </c>
      <c r="S156" s="3">
        <f t="shared" si="79"/>
        <v>2.058672883537227E-3</v>
      </c>
      <c r="T156" s="3">
        <f t="shared" si="80"/>
        <v>-2.3337233462199514E-3</v>
      </c>
      <c r="U156" s="3">
        <f t="shared" si="81"/>
        <v>-5.3050522296933522E-3</v>
      </c>
      <c r="V156" s="3">
        <f t="shared" si="82"/>
        <v>8.2169731022809778E-3</v>
      </c>
      <c r="W156" s="3">
        <f t="shared" si="83"/>
        <v>6.8116585094113447E-3</v>
      </c>
      <c r="X156" s="3">
        <f t="shared" si="84"/>
        <v>3.3506185041964898E-3</v>
      </c>
      <c r="AZ156" s="3" t="s">
        <v>161</v>
      </c>
      <c r="BA156" s="3">
        <v>151</v>
      </c>
      <c r="BB156" s="3">
        <f t="shared" si="85"/>
        <v>1.0979728093086747</v>
      </c>
      <c r="BC156" s="3">
        <f t="shared" si="86"/>
        <v>1.0878931438436095</v>
      </c>
      <c r="BD156" s="3">
        <f t="shared" si="87"/>
        <v>1.1068357049485051</v>
      </c>
      <c r="BE156" s="3">
        <f t="shared" si="88"/>
        <v>1.1032190722257085</v>
      </c>
      <c r="BF156" s="3">
        <f t="shared" si="89"/>
        <v>1.0737514088298263</v>
      </c>
      <c r="BH156" s="3">
        <f t="shared" si="90"/>
        <v>6.131227904199496E-3</v>
      </c>
      <c r="BI156" s="3">
        <f t="shared" si="91"/>
        <v>6.5712622586384661E-3</v>
      </c>
      <c r="BJ156" s="3">
        <f t="shared" si="92"/>
        <v>9.4750555395156366E-3</v>
      </c>
      <c r="BK156" s="3">
        <f t="shared" si="93"/>
        <v>1.4452024617181342E-2</v>
      </c>
    </row>
    <row r="157" spans="1:63" x14ac:dyDescent="0.2">
      <c r="A157" s="3" t="s">
        <v>164</v>
      </c>
      <c r="B157" s="3">
        <v>76.2</v>
      </c>
      <c r="C157" s="3">
        <v>87.05</v>
      </c>
      <c r="D157" s="3">
        <v>17.62</v>
      </c>
      <c r="E157" s="3">
        <v>64.75</v>
      </c>
      <c r="F157" s="3">
        <v>57.95</v>
      </c>
      <c r="G157" s="3">
        <v>194.5</v>
      </c>
      <c r="H157" s="3">
        <v>42.8</v>
      </c>
      <c r="I157" s="3">
        <v>131.6</v>
      </c>
      <c r="J157" s="3">
        <v>12.22</v>
      </c>
      <c r="K157" s="3">
        <v>95.75</v>
      </c>
      <c r="L157" s="3">
        <v>28466.480468999998</v>
      </c>
      <c r="N157" s="3">
        <f t="shared" si="74"/>
        <v>-1.3131978249605325E-3</v>
      </c>
      <c r="O157" s="3">
        <f t="shared" si="75"/>
        <v>-2.3001735270833379E-3</v>
      </c>
      <c r="P157" s="3">
        <f t="shared" si="76"/>
        <v>-4.5506335639964313E-3</v>
      </c>
      <c r="Q157" s="3">
        <f t="shared" si="77"/>
        <v>-7.724990727924208E-4</v>
      </c>
      <c r="R157" s="3">
        <f t="shared" si="78"/>
        <v>0</v>
      </c>
      <c r="S157" s="3">
        <f t="shared" si="79"/>
        <v>2.5673955052454289E-3</v>
      </c>
      <c r="T157" s="3">
        <f t="shared" si="80"/>
        <v>-2.3391823531722089E-3</v>
      </c>
      <c r="U157" s="3">
        <f t="shared" si="81"/>
        <v>-7.6278020488862452E-3</v>
      </c>
      <c r="V157" s="3">
        <f t="shared" si="82"/>
        <v>-1.3179762444409882E-2</v>
      </c>
      <c r="W157" s="3">
        <f t="shared" si="83"/>
        <v>6.7655735557439201E-3</v>
      </c>
      <c r="X157" s="3">
        <f t="shared" si="84"/>
        <v>2.0199364400710351E-3</v>
      </c>
      <c r="AZ157" s="3" t="s">
        <v>162</v>
      </c>
      <c r="BA157" s="3">
        <v>152</v>
      </c>
      <c r="BB157" s="3">
        <f t="shared" si="85"/>
        <v>1.1047254105501285</v>
      </c>
      <c r="BC157" s="3">
        <f t="shared" si="86"/>
        <v>1.0950655149575308</v>
      </c>
      <c r="BD157" s="3">
        <f t="shared" si="87"/>
        <v>1.1173728760340775</v>
      </c>
      <c r="BE157" s="3">
        <f t="shared" si="88"/>
        <v>1.1192785881592029</v>
      </c>
      <c r="BF157" s="3">
        <f t="shared" si="89"/>
        <v>1.0852103856942099</v>
      </c>
      <c r="BH157" s="3">
        <f t="shared" si="90"/>
        <v>-1.3387454384003711E-2</v>
      </c>
      <c r="BI157" s="3">
        <f t="shared" si="91"/>
        <v>-1.271424284241271E-2</v>
      </c>
      <c r="BJ157" s="3">
        <f t="shared" si="92"/>
        <v>-1.4109403759579253E-2</v>
      </c>
      <c r="BK157" s="3">
        <f t="shared" si="93"/>
        <v>-1.4330068938950113E-2</v>
      </c>
    </row>
    <row r="158" spans="1:63" x14ac:dyDescent="0.2">
      <c r="A158" s="3" t="s">
        <v>165</v>
      </c>
      <c r="B158" s="3">
        <v>76.099999999999994</v>
      </c>
      <c r="C158" s="3">
        <v>86.85</v>
      </c>
      <c r="D158" s="3">
        <v>17.54</v>
      </c>
      <c r="E158" s="3">
        <v>64.7</v>
      </c>
      <c r="F158" s="3">
        <v>57.95</v>
      </c>
      <c r="G158" s="3">
        <v>195</v>
      </c>
      <c r="H158" s="3">
        <v>42.7</v>
      </c>
      <c r="I158" s="3">
        <v>130.6</v>
      </c>
      <c r="J158" s="3">
        <v>12.06</v>
      </c>
      <c r="K158" s="3">
        <v>96.4</v>
      </c>
      <c r="L158" s="3">
        <v>28524.039063</v>
      </c>
      <c r="N158" s="3">
        <f t="shared" si="74"/>
        <v>-3.29055907309872E-3</v>
      </c>
      <c r="O158" s="3">
        <f t="shared" si="75"/>
        <v>-5.7587102080969288E-4</v>
      </c>
      <c r="P158" s="3">
        <f t="shared" si="76"/>
        <v>0</v>
      </c>
      <c r="Q158" s="3">
        <f t="shared" si="77"/>
        <v>-7.7309628898802885E-4</v>
      </c>
      <c r="R158" s="3">
        <f t="shared" si="78"/>
        <v>-4.3233962717073027E-3</v>
      </c>
      <c r="S158" s="3">
        <f t="shared" si="79"/>
        <v>4.0941715326630046E-3</v>
      </c>
      <c r="T158" s="3">
        <f t="shared" si="80"/>
        <v>0</v>
      </c>
      <c r="U158" s="3">
        <f t="shared" si="81"/>
        <v>-1.3878403172077114E-2</v>
      </c>
      <c r="V158" s="3">
        <f t="shared" si="82"/>
        <v>-1.335579118155561E-2</v>
      </c>
      <c r="W158" s="3">
        <f t="shared" si="83"/>
        <v>-4.6789791627910304E-3</v>
      </c>
      <c r="X158" s="3">
        <f t="shared" si="84"/>
        <v>2.4602169331640056E-3</v>
      </c>
      <c r="AZ158" s="3" t="s">
        <v>163</v>
      </c>
      <c r="BA158" s="3">
        <v>153</v>
      </c>
      <c r="BB158" s="3">
        <f t="shared" si="85"/>
        <v>1.0900345058307579</v>
      </c>
      <c r="BC158" s="3">
        <f t="shared" si="86"/>
        <v>1.0812307218992794</v>
      </c>
      <c r="BD158" s="3">
        <f t="shared" si="87"/>
        <v>1.1017181103862892</v>
      </c>
      <c r="BE158" s="3">
        <f t="shared" si="88"/>
        <v>1.1033536242604249</v>
      </c>
      <c r="BF158" s="3">
        <f t="shared" si="89"/>
        <v>1.0703409420619276</v>
      </c>
      <c r="BH158" s="3">
        <f t="shared" si="90"/>
        <v>2.4701570139953888E-3</v>
      </c>
      <c r="BI158" s="3">
        <f t="shared" si="91"/>
        <v>2.7980117950942851E-3</v>
      </c>
      <c r="BJ158" s="3">
        <f t="shared" si="92"/>
        <v>3.6643328886451498E-3</v>
      </c>
      <c r="BK158" s="3">
        <f t="shared" si="93"/>
        <v>6.0313121893137145E-3</v>
      </c>
    </row>
    <row r="159" spans="1:63" x14ac:dyDescent="0.2">
      <c r="A159" s="3" t="s">
        <v>166</v>
      </c>
      <c r="B159" s="3">
        <v>75.849999999999994</v>
      </c>
      <c r="C159" s="3">
        <v>86.8</v>
      </c>
      <c r="D159" s="3">
        <v>17.54</v>
      </c>
      <c r="E159" s="3">
        <v>64.650000000000006</v>
      </c>
      <c r="F159" s="3">
        <v>57.7</v>
      </c>
      <c r="G159" s="3">
        <v>195.8</v>
      </c>
      <c r="H159" s="3">
        <v>42.7</v>
      </c>
      <c r="I159" s="3">
        <v>128.80000000000001</v>
      </c>
      <c r="J159" s="3">
        <v>11.9</v>
      </c>
      <c r="K159" s="3">
        <v>95.95</v>
      </c>
      <c r="L159" s="3">
        <v>28594.300781000002</v>
      </c>
      <c r="N159" s="3">
        <f t="shared" si="74"/>
        <v>-3.3014226090539722E-3</v>
      </c>
      <c r="O159" s="3">
        <f t="shared" si="75"/>
        <v>-1.1587615172388155E-2</v>
      </c>
      <c r="P159" s="3">
        <f t="shared" si="76"/>
        <v>-2.2831060145684923E-3</v>
      </c>
      <c r="Q159" s="3">
        <f t="shared" si="77"/>
        <v>-6.2063814425377117E-3</v>
      </c>
      <c r="R159" s="3">
        <f t="shared" si="78"/>
        <v>-7.8295310797047435E-3</v>
      </c>
      <c r="S159" s="3">
        <f t="shared" si="79"/>
        <v>-1.5333506709893641E-3</v>
      </c>
      <c r="T159" s="3">
        <f t="shared" si="80"/>
        <v>-7.050557996666651E-3</v>
      </c>
      <c r="U159" s="3">
        <f t="shared" si="81"/>
        <v>-6.2305497506365271E-3</v>
      </c>
      <c r="V159" s="3">
        <f t="shared" si="82"/>
        <v>-1.8660422717402536E-2</v>
      </c>
      <c r="W159" s="3">
        <f t="shared" si="83"/>
        <v>-9.4241535192702841E-3</v>
      </c>
      <c r="X159" s="3">
        <f t="shared" si="84"/>
        <v>-6.8978518006090894E-3</v>
      </c>
      <c r="AZ159" s="3" t="s">
        <v>164</v>
      </c>
      <c r="BA159" s="3">
        <v>154</v>
      </c>
      <c r="BB159" s="3">
        <f t="shared" si="85"/>
        <v>1.0927303904692227</v>
      </c>
      <c r="BC159" s="3">
        <f t="shared" si="86"/>
        <v>1.0842602545699604</v>
      </c>
      <c r="BD159" s="3">
        <f t="shared" si="87"/>
        <v>1.1057625779043312</v>
      </c>
      <c r="BE159" s="3">
        <f t="shared" si="88"/>
        <v>1.1100284030269467</v>
      </c>
      <c r="BF159" s="3">
        <f t="shared" si="89"/>
        <v>1.0739332611127355</v>
      </c>
      <c r="BH159" s="3">
        <f t="shared" si="90"/>
        <v>-2.427757046092674E-3</v>
      </c>
      <c r="BI159" s="3">
        <f t="shared" si="91"/>
        <v>-1.9626768698548513E-3</v>
      </c>
      <c r="BJ159" s="3">
        <f t="shared" si="92"/>
        <v>-2.7587691620511168E-3</v>
      </c>
      <c r="BK159" s="3">
        <f t="shared" si="93"/>
        <v>-2.6477731101464674E-3</v>
      </c>
    </row>
    <row r="160" spans="1:63" x14ac:dyDescent="0.2">
      <c r="A160" s="3" t="s">
        <v>167</v>
      </c>
      <c r="B160" s="3">
        <v>75.599999999999994</v>
      </c>
      <c r="C160" s="3">
        <v>85.8</v>
      </c>
      <c r="D160" s="3">
        <v>17.5</v>
      </c>
      <c r="E160" s="3">
        <v>64.25</v>
      </c>
      <c r="F160" s="3">
        <v>57.25</v>
      </c>
      <c r="G160" s="3">
        <v>195.5</v>
      </c>
      <c r="H160" s="3">
        <v>42.4</v>
      </c>
      <c r="I160" s="3">
        <v>128</v>
      </c>
      <c r="J160" s="3">
        <v>11.68</v>
      </c>
      <c r="K160" s="3">
        <v>95.05</v>
      </c>
      <c r="L160" s="3">
        <v>28397.740234000001</v>
      </c>
      <c r="N160" s="3">
        <f t="shared" si="74"/>
        <v>-5.3050522296933522E-3</v>
      </c>
      <c r="O160" s="3">
        <f t="shared" si="75"/>
        <v>1.1648224962934606E-3</v>
      </c>
      <c r="P160" s="3">
        <f t="shared" si="76"/>
        <v>-6.880761092222798E-3</v>
      </c>
      <c r="Q160" s="3">
        <f t="shared" si="77"/>
        <v>-5.4623623918406139E-3</v>
      </c>
      <c r="R160" s="3">
        <f t="shared" si="78"/>
        <v>3.4873618604152057E-3</v>
      </c>
      <c r="S160" s="3">
        <f t="shared" si="79"/>
        <v>-1.8585976411766403E-2</v>
      </c>
      <c r="T160" s="3">
        <f t="shared" si="80"/>
        <v>-2.1454935001259834E-2</v>
      </c>
      <c r="U160" s="3">
        <f t="shared" si="81"/>
        <v>-6.2696130135950767E-3</v>
      </c>
      <c r="V160" s="3">
        <f t="shared" si="82"/>
        <v>-3.6621354688537E-2</v>
      </c>
      <c r="W160" s="3">
        <f t="shared" si="83"/>
        <v>-2.5574116203069153E-2</v>
      </c>
      <c r="X160" s="3">
        <f t="shared" si="84"/>
        <v>-1.0311903020985724E-2</v>
      </c>
      <c r="AZ160" s="3" t="s">
        <v>165</v>
      </c>
      <c r="BA160" s="3">
        <v>155</v>
      </c>
      <c r="BB160" s="3">
        <f t="shared" si="85"/>
        <v>1.0900807242386406</v>
      </c>
      <c r="BC160" s="3">
        <f t="shared" si="86"/>
        <v>1.0821342890215697</v>
      </c>
      <c r="BD160" s="3">
        <f t="shared" si="87"/>
        <v>1.1027162382099533</v>
      </c>
      <c r="BE160" s="3">
        <f t="shared" si="88"/>
        <v>1.107093187277407</v>
      </c>
      <c r="BF160" s="3">
        <f t="shared" si="89"/>
        <v>1.0761047304177238</v>
      </c>
      <c r="BH160" s="3">
        <f t="shared" si="90"/>
        <v>-3.7890513954198235E-3</v>
      </c>
      <c r="BI160" s="3">
        <f t="shared" si="91"/>
        <v>-3.1222289620502358E-3</v>
      </c>
      <c r="BJ160" s="3">
        <f t="shared" si="92"/>
        <v>-2.7857298881298898E-3</v>
      </c>
      <c r="BK160" s="3">
        <f t="shared" si="93"/>
        <v>-1.5566337883004405E-3</v>
      </c>
    </row>
    <row r="161" spans="1:63" x14ac:dyDescent="0.2">
      <c r="A161" s="3" t="s">
        <v>168</v>
      </c>
      <c r="B161" s="3">
        <v>75.2</v>
      </c>
      <c r="C161" s="3">
        <v>85.9</v>
      </c>
      <c r="D161" s="3">
        <v>17.38</v>
      </c>
      <c r="E161" s="3">
        <v>63.9</v>
      </c>
      <c r="F161" s="3">
        <v>57.45</v>
      </c>
      <c r="G161" s="3">
        <v>191.9</v>
      </c>
      <c r="H161" s="3">
        <v>41.5</v>
      </c>
      <c r="I161" s="3">
        <v>127.2</v>
      </c>
      <c r="J161" s="3">
        <v>11.26</v>
      </c>
      <c r="K161" s="3">
        <v>92.65</v>
      </c>
      <c r="L161" s="3">
        <v>28106.410156000002</v>
      </c>
      <c r="N161" s="3">
        <f t="shared" si="74"/>
        <v>-6.6711388170226371E-3</v>
      </c>
      <c r="O161" s="3">
        <f t="shared" si="75"/>
        <v>0</v>
      </c>
      <c r="P161" s="3">
        <f t="shared" si="76"/>
        <v>8.0229656709995822E-3</v>
      </c>
      <c r="Q161" s="3">
        <f t="shared" si="77"/>
        <v>-1.566171032744812E-3</v>
      </c>
      <c r="R161" s="3">
        <f t="shared" si="78"/>
        <v>-6.1108876327997663E-3</v>
      </c>
      <c r="S161" s="3">
        <f t="shared" si="79"/>
        <v>-8.8982529023642343E-3</v>
      </c>
      <c r="T161" s="3">
        <f t="shared" si="80"/>
        <v>-1.0902591338215473E-2</v>
      </c>
      <c r="U161" s="3">
        <f t="shared" si="81"/>
        <v>4.7058910374122576E-3</v>
      </c>
      <c r="V161" s="3">
        <f t="shared" si="82"/>
        <v>-1.2511333889107856E-2</v>
      </c>
      <c r="W161" s="3">
        <f t="shared" si="83"/>
        <v>5.3951984043987267E-4</v>
      </c>
      <c r="X161" s="3">
        <f t="shared" si="84"/>
        <v>1.4253431751729551E-3</v>
      </c>
      <c r="AZ161" s="3" t="s">
        <v>166</v>
      </c>
      <c r="BA161" s="3">
        <v>156</v>
      </c>
      <c r="BB161" s="3">
        <f t="shared" si="85"/>
        <v>1.0859581675711543</v>
      </c>
      <c r="BC161" s="3">
        <f t="shared" si="86"/>
        <v>1.0787608870107031</v>
      </c>
      <c r="BD161" s="3">
        <f t="shared" si="87"/>
        <v>1.0996486433561656</v>
      </c>
      <c r="BE161" s="3">
        <f t="shared" si="88"/>
        <v>1.1053711892231868</v>
      </c>
      <c r="BF161" s="3">
        <f t="shared" si="89"/>
        <v>1.0787554408216775</v>
      </c>
      <c r="BH161" s="3">
        <f t="shared" si="90"/>
        <v>-7.4191522828893075E-3</v>
      </c>
      <c r="BI161" s="3">
        <f t="shared" si="91"/>
        <v>-7.0147637615535496E-3</v>
      </c>
      <c r="BJ161" s="3">
        <f t="shared" si="92"/>
        <v>-7.2092128432350439E-3</v>
      </c>
      <c r="BK161" s="3">
        <f t="shared" si="93"/>
        <v>-6.9672524968679012E-3</v>
      </c>
    </row>
    <row r="162" spans="1:63" x14ac:dyDescent="0.2">
      <c r="A162" s="3" t="s">
        <v>169</v>
      </c>
      <c r="B162" s="3">
        <v>74.7</v>
      </c>
      <c r="C162" s="3">
        <v>85.9</v>
      </c>
      <c r="D162" s="3">
        <v>17.52</v>
      </c>
      <c r="E162" s="3">
        <v>63.8</v>
      </c>
      <c r="F162" s="3">
        <v>57.1</v>
      </c>
      <c r="G162" s="3">
        <v>190.2</v>
      </c>
      <c r="H162" s="3">
        <v>41.05</v>
      </c>
      <c r="I162" s="3">
        <v>127.8</v>
      </c>
      <c r="J162" s="3">
        <v>11.12</v>
      </c>
      <c r="K162" s="3">
        <v>92.7</v>
      </c>
      <c r="L162" s="3">
        <v>28146.5</v>
      </c>
      <c r="N162" s="3">
        <f t="shared" si="74"/>
        <v>-1.4155949230132414E-2</v>
      </c>
      <c r="O162" s="3">
        <f t="shared" si="75"/>
        <v>-7.5957128265837781E-3</v>
      </c>
      <c r="P162" s="3">
        <f t="shared" si="76"/>
        <v>-1.0327114155849415E-2</v>
      </c>
      <c r="Q162" s="3">
        <f t="shared" si="77"/>
        <v>-7.0782835835956348E-3</v>
      </c>
      <c r="R162" s="3">
        <f t="shared" si="78"/>
        <v>-1.6777435477512093E-2</v>
      </c>
      <c r="S162" s="3">
        <f t="shared" si="79"/>
        <v>-1.7502435649772607E-2</v>
      </c>
      <c r="T162" s="3">
        <f t="shared" si="80"/>
        <v>-7.3349962115654144E-3</v>
      </c>
      <c r="U162" s="3">
        <f t="shared" si="81"/>
        <v>-7.0671672230924187E-3</v>
      </c>
      <c r="V162" s="3">
        <f t="shared" si="82"/>
        <v>-1.8001805041478747E-3</v>
      </c>
      <c r="W162" s="3">
        <f t="shared" si="83"/>
        <v>-3.2897703507059006E-2</v>
      </c>
      <c r="X162" s="3">
        <f t="shared" si="84"/>
        <v>-1.3187672404669115E-2</v>
      </c>
      <c r="AZ162" s="3" t="s">
        <v>167</v>
      </c>
      <c r="BA162" s="3">
        <v>157</v>
      </c>
      <c r="BB162" s="3">
        <f t="shared" si="85"/>
        <v>1.0779310924196042</v>
      </c>
      <c r="BC162" s="3">
        <f t="shared" si="86"/>
        <v>1.0712201135268917</v>
      </c>
      <c r="BD162" s="3">
        <f t="shared" si="87"/>
        <v>1.0917495495690654</v>
      </c>
      <c r="BE162" s="3">
        <f t="shared" si="88"/>
        <v>1.0976965556456189</v>
      </c>
      <c r="BF162" s="3">
        <f t="shared" si="89"/>
        <v>1.0713399505409</v>
      </c>
      <c r="BH162" s="3">
        <f t="shared" si="90"/>
        <v>-1.2411367258771969E-2</v>
      </c>
      <c r="BI162" s="3">
        <f t="shared" si="91"/>
        <v>-1.0067919635335487E-2</v>
      </c>
      <c r="BJ162" s="3">
        <f t="shared" si="92"/>
        <v>-1.3774202563805321E-3</v>
      </c>
      <c r="BK162" s="3">
        <f t="shared" si="93"/>
        <v>1.4342846910215715E-2</v>
      </c>
    </row>
    <row r="163" spans="1:63" x14ac:dyDescent="0.2">
      <c r="A163" s="3" t="s">
        <v>170</v>
      </c>
      <c r="B163" s="3">
        <v>73.650000000000006</v>
      </c>
      <c r="C163" s="3">
        <v>85.25</v>
      </c>
      <c r="D163" s="3">
        <v>17.34</v>
      </c>
      <c r="E163" s="3">
        <v>63.35</v>
      </c>
      <c r="F163" s="3">
        <v>56.15</v>
      </c>
      <c r="G163" s="3">
        <v>186.9</v>
      </c>
      <c r="H163" s="3">
        <v>40.75</v>
      </c>
      <c r="I163" s="3">
        <v>126.9</v>
      </c>
      <c r="J163" s="3">
        <v>11.1</v>
      </c>
      <c r="K163" s="3">
        <v>89.7</v>
      </c>
      <c r="L163" s="3">
        <v>27777.75</v>
      </c>
      <c r="N163" s="3">
        <f t="shared" si="74"/>
        <v>-1.5737581048010263E-2</v>
      </c>
      <c r="O163" s="3">
        <f t="shared" si="75"/>
        <v>-3.5252680456849816E-3</v>
      </c>
      <c r="P163" s="3">
        <f t="shared" si="76"/>
        <v>-2.3094698486625376E-3</v>
      </c>
      <c r="Q163" s="3">
        <f t="shared" si="77"/>
        <v>-4.7468443562195262E-3</v>
      </c>
      <c r="R163" s="3">
        <f t="shared" si="78"/>
        <v>-1.8876965025583559E-2</v>
      </c>
      <c r="S163" s="3">
        <f t="shared" si="79"/>
        <v>-1.1299555253933669E-2</v>
      </c>
      <c r="T163" s="3">
        <f t="shared" si="80"/>
        <v>-1.1104370734234426E-2</v>
      </c>
      <c r="U163" s="3">
        <f t="shared" si="81"/>
        <v>-4.1840374726859864E-2</v>
      </c>
      <c r="V163" s="3">
        <f t="shared" si="82"/>
        <v>-9.0498355199177816E-3</v>
      </c>
      <c r="W163" s="3">
        <f t="shared" si="83"/>
        <v>-2.4831975701181008E-2</v>
      </c>
      <c r="X163" s="3">
        <f t="shared" si="84"/>
        <v>-7.6631226165897459E-3</v>
      </c>
      <c r="AZ163" s="3" t="s">
        <v>168</v>
      </c>
      <c r="BA163" s="3">
        <v>158</v>
      </c>
      <c r="BB163" s="3">
        <f t="shared" si="85"/>
        <v>1.0646351746880227</v>
      </c>
      <c r="BC163" s="3">
        <f t="shared" si="86"/>
        <v>1.060489264815806</v>
      </c>
      <c r="BD163" s="3">
        <f t="shared" si="87"/>
        <v>1.0902467868301109</v>
      </c>
      <c r="BE163" s="3">
        <f t="shared" si="88"/>
        <v>1.1135540986060533</v>
      </c>
      <c r="BF163" s="3">
        <f t="shared" si="89"/>
        <v>1.0603491622322616</v>
      </c>
      <c r="BH163" s="3">
        <f t="shared" si="90"/>
        <v>-3.1541182895933051E-3</v>
      </c>
      <c r="BI163" s="3">
        <f t="shared" si="91"/>
        <v>-2.7440750533898467E-3</v>
      </c>
      <c r="BJ163" s="3">
        <f t="shared" si="92"/>
        <v>-1.4894147160199739E-3</v>
      </c>
      <c r="BK163" s="3">
        <f t="shared" si="93"/>
        <v>4.0448282343291675E-4</v>
      </c>
    </row>
    <row r="164" spans="1:63" x14ac:dyDescent="0.2">
      <c r="A164" s="3" t="s">
        <v>171</v>
      </c>
      <c r="B164" s="3">
        <v>72.5</v>
      </c>
      <c r="C164" s="3">
        <v>84.95</v>
      </c>
      <c r="D164" s="3">
        <v>17.3</v>
      </c>
      <c r="E164" s="3">
        <v>63.05</v>
      </c>
      <c r="F164" s="3">
        <v>55.1</v>
      </c>
      <c r="G164" s="3">
        <v>184.8</v>
      </c>
      <c r="H164" s="3">
        <v>40.299999999999997</v>
      </c>
      <c r="I164" s="3">
        <v>121.7</v>
      </c>
      <c r="J164" s="3">
        <v>11</v>
      </c>
      <c r="K164" s="3">
        <v>87.5</v>
      </c>
      <c r="L164" s="3">
        <v>27565.699218999998</v>
      </c>
      <c r="N164" s="3">
        <f t="shared" si="74"/>
        <v>-7.6151285272523239E-3</v>
      </c>
      <c r="O164" s="3">
        <f t="shared" si="75"/>
        <v>-5.9032048641318724E-3</v>
      </c>
      <c r="P164" s="3">
        <f t="shared" si="76"/>
        <v>1.1554016305557191E-3</v>
      </c>
      <c r="Q164" s="3">
        <f t="shared" si="77"/>
        <v>-1.4377244454208515E-2</v>
      </c>
      <c r="R164" s="3">
        <f t="shared" si="78"/>
        <v>-4.5475294376293718E-3</v>
      </c>
      <c r="S164" s="3">
        <f t="shared" si="79"/>
        <v>-1.8018505502678472E-2</v>
      </c>
      <c r="T164" s="3">
        <f t="shared" si="80"/>
        <v>-1.3741627852296379E-2</v>
      </c>
      <c r="U164" s="3">
        <f t="shared" si="81"/>
        <v>-7.4227144927672128E-3</v>
      </c>
      <c r="V164" s="3">
        <f t="shared" si="82"/>
        <v>-2.0202707317519497E-2</v>
      </c>
      <c r="W164" s="3">
        <f t="shared" si="83"/>
        <v>-1.6129381929884445E-2</v>
      </c>
      <c r="X164" s="3">
        <f t="shared" si="84"/>
        <v>-2.3755460511642568E-2</v>
      </c>
      <c r="AZ164" s="3" t="s">
        <v>169</v>
      </c>
      <c r="BA164" s="3">
        <v>159</v>
      </c>
      <c r="BB164" s="3">
        <f t="shared" si="85"/>
        <v>1.0612824795897722</v>
      </c>
      <c r="BC164" s="3">
        <f t="shared" si="86"/>
        <v>1.0575831917446941</v>
      </c>
      <c r="BD164" s="3">
        <f t="shared" si="87"/>
        <v>1.0886241658994216</v>
      </c>
      <c r="BE164" s="3">
        <f t="shared" si="88"/>
        <v>1.114004603216449</v>
      </c>
      <c r="BF164" s="3">
        <f t="shared" si="89"/>
        <v>1.0618616012902373</v>
      </c>
      <c r="BH164" s="3">
        <f t="shared" si="90"/>
        <v>-1.2201709668411956E-2</v>
      </c>
      <c r="BI164" s="3">
        <f t="shared" si="91"/>
        <v>-1.2443645718117444E-2</v>
      </c>
      <c r="BJ164" s="3">
        <f t="shared" si="92"/>
        <v>-1.1732401395382924E-2</v>
      </c>
      <c r="BK164" s="3">
        <f t="shared" si="93"/>
        <v>-1.2138875123503395E-2</v>
      </c>
    </row>
    <row r="165" spans="1:63" x14ac:dyDescent="0.2">
      <c r="A165" s="3" t="s">
        <v>172</v>
      </c>
      <c r="B165" s="3">
        <v>71.95</v>
      </c>
      <c r="C165" s="3">
        <v>84.45</v>
      </c>
      <c r="D165" s="3">
        <v>17.32</v>
      </c>
      <c r="E165" s="3">
        <v>62.15</v>
      </c>
      <c r="F165" s="3">
        <v>54.85</v>
      </c>
      <c r="G165" s="3">
        <v>181.5</v>
      </c>
      <c r="H165" s="3">
        <v>39.75</v>
      </c>
      <c r="I165" s="3">
        <v>120.8</v>
      </c>
      <c r="J165" s="3">
        <v>10.78</v>
      </c>
      <c r="K165" s="3">
        <v>86.1</v>
      </c>
      <c r="L165" s="3">
        <v>26918.580077999999</v>
      </c>
      <c r="N165" s="3">
        <f t="shared" si="74"/>
        <v>-3.2488733107562062E-2</v>
      </c>
      <c r="O165" s="3">
        <f t="shared" si="75"/>
        <v>-2.2755472887672212E-2</v>
      </c>
      <c r="P165" s="3">
        <f t="shared" si="76"/>
        <v>-2.4548281205261535E-2</v>
      </c>
      <c r="Q165" s="3">
        <f t="shared" si="77"/>
        <v>-1.8676953783408834E-2</v>
      </c>
      <c r="R165" s="3">
        <f t="shared" si="78"/>
        <v>-5.4844744421598257E-3</v>
      </c>
      <c r="S165" s="3">
        <f t="shared" si="79"/>
        <v>-3.7041271680348764E-2</v>
      </c>
      <c r="T165" s="3">
        <f t="shared" si="80"/>
        <v>-3.3251145148687655E-2</v>
      </c>
      <c r="U165" s="3">
        <f t="shared" si="81"/>
        <v>-5.3561462506420021E-2</v>
      </c>
      <c r="V165" s="3">
        <f t="shared" si="82"/>
        <v>-3.9740328649514378E-2</v>
      </c>
      <c r="W165" s="3">
        <f t="shared" si="83"/>
        <v>-3.2460802236881747E-2</v>
      </c>
      <c r="X165" s="3">
        <f t="shared" si="84"/>
        <v>-2.8917078180059619E-2</v>
      </c>
      <c r="AZ165" s="3" t="s">
        <v>170</v>
      </c>
      <c r="BA165" s="3">
        <v>160</v>
      </c>
      <c r="BB165" s="3">
        <f t="shared" si="85"/>
        <v>1.0484117013323004</v>
      </c>
      <c r="BC165" s="3">
        <f t="shared" si="86"/>
        <v>1.0445045429874267</v>
      </c>
      <c r="BD165" s="3">
        <f t="shared" si="87"/>
        <v>1.0759266222063189</v>
      </c>
      <c r="BE165" s="3">
        <f t="shared" si="88"/>
        <v>1.1005635849189821</v>
      </c>
      <c r="BF165" s="3">
        <f t="shared" si="89"/>
        <v>1.0479500504588455</v>
      </c>
      <c r="BH165" s="3">
        <f t="shared" si="90"/>
        <v>-1.4424094728801691E-2</v>
      </c>
      <c r="BI165" s="3">
        <f t="shared" si="91"/>
        <v>-1.337297945594625E-2</v>
      </c>
      <c r="BJ165" s="3">
        <f t="shared" si="92"/>
        <v>-1.1244517525580248E-2</v>
      </c>
      <c r="BK165" s="3">
        <f t="shared" si="93"/>
        <v>-7.6211040140244796E-3</v>
      </c>
    </row>
    <row r="166" spans="1:63" x14ac:dyDescent="0.2">
      <c r="A166" s="3" t="s">
        <v>173</v>
      </c>
      <c r="B166" s="3">
        <v>69.650000000000006</v>
      </c>
      <c r="C166" s="3">
        <v>82.55</v>
      </c>
      <c r="D166" s="3">
        <v>16.899999999999999</v>
      </c>
      <c r="E166" s="3">
        <v>61</v>
      </c>
      <c r="F166" s="3">
        <v>54.55</v>
      </c>
      <c r="G166" s="3">
        <v>174.9</v>
      </c>
      <c r="H166" s="3">
        <v>38.450000000000003</v>
      </c>
      <c r="I166" s="3">
        <v>114.5</v>
      </c>
      <c r="J166" s="3">
        <v>10.36</v>
      </c>
      <c r="K166" s="3">
        <v>83.35</v>
      </c>
      <c r="L166" s="3">
        <v>26151.320313</v>
      </c>
      <c r="N166" s="3">
        <f t="shared" si="74"/>
        <v>-1.5190165493974561E-2</v>
      </c>
      <c r="O166" s="3">
        <f t="shared" si="75"/>
        <v>0</v>
      </c>
      <c r="P166" s="3">
        <f t="shared" si="76"/>
        <v>-2.3696693553181269E-3</v>
      </c>
      <c r="Q166" s="3">
        <f t="shared" si="77"/>
        <v>-1.1541760440171522E-2</v>
      </c>
      <c r="R166" s="3">
        <f t="shared" si="78"/>
        <v>-2.7535584171829441E-3</v>
      </c>
      <c r="S166" s="3">
        <f t="shared" si="79"/>
        <v>-9.1901853029954239E-3</v>
      </c>
      <c r="T166" s="3">
        <f t="shared" si="80"/>
        <v>-9.1444138189977764E-3</v>
      </c>
      <c r="U166" s="3">
        <f t="shared" si="81"/>
        <v>-9.6534317006424786E-3</v>
      </c>
      <c r="V166" s="3">
        <f t="shared" si="82"/>
        <v>-4.5417479690792462E-2</v>
      </c>
      <c r="W166" s="3">
        <f t="shared" si="83"/>
        <v>5.3843982912340493E-3</v>
      </c>
      <c r="X166" s="3">
        <f t="shared" si="84"/>
        <v>-6.7173961533271154E-3</v>
      </c>
      <c r="AZ166" s="3" t="s">
        <v>171</v>
      </c>
      <c r="BA166" s="3">
        <v>161</v>
      </c>
      <c r="BB166" s="3">
        <f t="shared" si="85"/>
        <v>1.0333978525335001</v>
      </c>
      <c r="BC166" s="3">
        <f t="shared" si="86"/>
        <v>1.0306293880548318</v>
      </c>
      <c r="BD166" s="3">
        <f t="shared" si="87"/>
        <v>1.0638961118493395</v>
      </c>
      <c r="BE166" s="3">
        <f t="shared" si="88"/>
        <v>1.0922079553672868</v>
      </c>
      <c r="BF166" s="3">
        <f t="shared" si="89"/>
        <v>1.0399501718996105</v>
      </c>
      <c r="BH166" s="3">
        <f t="shared" si="90"/>
        <v>-1.0485236660815286E-2</v>
      </c>
      <c r="BI166" s="3">
        <f t="shared" si="91"/>
        <v>-9.5236788769159468E-3</v>
      </c>
      <c r="BJ166" s="3">
        <f t="shared" si="92"/>
        <v>-3.4332851302627601E-3</v>
      </c>
      <c r="BK166" s="3">
        <f t="shared" si="93"/>
        <v>5.7852637649487976E-3</v>
      </c>
    </row>
    <row r="167" spans="1:63" x14ac:dyDescent="0.2">
      <c r="A167" s="3" t="s">
        <v>174</v>
      </c>
      <c r="B167" s="3">
        <v>68.599999999999994</v>
      </c>
      <c r="C167" s="3">
        <v>82.55</v>
      </c>
      <c r="D167" s="3">
        <v>16.86</v>
      </c>
      <c r="E167" s="3">
        <v>60.3</v>
      </c>
      <c r="F167" s="3">
        <v>54.4</v>
      </c>
      <c r="G167" s="3">
        <v>173.3</v>
      </c>
      <c r="H167" s="3">
        <v>38.1</v>
      </c>
      <c r="I167" s="3">
        <v>113.4</v>
      </c>
      <c r="J167" s="3">
        <v>9.9</v>
      </c>
      <c r="K167" s="3">
        <v>83.8</v>
      </c>
      <c r="L167" s="3">
        <v>25976.240234000001</v>
      </c>
      <c r="N167" s="3">
        <f t="shared" si="74"/>
        <v>-1.3206354813610766E-2</v>
      </c>
      <c r="O167" s="3">
        <f t="shared" si="75"/>
        <v>3.0422865213191486E-2</v>
      </c>
      <c r="P167" s="3">
        <f t="shared" si="76"/>
        <v>-2.3752980289075687E-3</v>
      </c>
      <c r="Q167" s="3">
        <f t="shared" si="77"/>
        <v>-1.6597514183640527E-3</v>
      </c>
      <c r="R167" s="3">
        <f t="shared" si="78"/>
        <v>1.0059526987733935E-2</v>
      </c>
      <c r="S167" s="3">
        <f t="shared" si="79"/>
        <v>-1.7326022237815764E-3</v>
      </c>
      <c r="T167" s="3">
        <f t="shared" si="80"/>
        <v>-7.9051795071132247E-3</v>
      </c>
      <c r="U167" s="3">
        <f t="shared" si="81"/>
        <v>-1.4209830572653459E-2</v>
      </c>
      <c r="V167" s="3">
        <f t="shared" si="82"/>
        <v>-2.7651531330509904E-2</v>
      </c>
      <c r="W167" s="3">
        <f t="shared" si="83"/>
        <v>-1.2004946096823232E-2</v>
      </c>
      <c r="X167" s="3">
        <f t="shared" si="84"/>
        <v>7.9999062196023374E-4</v>
      </c>
      <c r="AZ167" s="3" t="s">
        <v>172</v>
      </c>
      <c r="BA167" s="3">
        <v>162</v>
      </c>
      <c r="BB167" s="3">
        <f t="shared" si="85"/>
        <v>1.0226190394398931</v>
      </c>
      <c r="BC167" s="3">
        <f t="shared" si="86"/>
        <v>1.0208605959773152</v>
      </c>
      <c r="BD167" s="3">
        <f t="shared" si="87"/>
        <v>1.0602497162880198</v>
      </c>
      <c r="BE167" s="3">
        <f t="shared" si="88"/>
        <v>1.0985449794786217</v>
      </c>
      <c r="BF167" s="3">
        <f t="shared" si="89"/>
        <v>1.0155368001735408</v>
      </c>
      <c r="BH167" s="3">
        <f t="shared" si="90"/>
        <v>-3.0038391401696205E-2</v>
      </c>
      <c r="BI167" s="3">
        <f t="shared" si="91"/>
        <v>-2.7286397387624117E-2</v>
      </c>
      <c r="BJ167" s="3">
        <f t="shared" si="92"/>
        <v>-1.8478837921632602E-2</v>
      </c>
      <c r="BK167" s="3">
        <f t="shared" si="93"/>
        <v>-1.9973777267353748E-3</v>
      </c>
    </row>
    <row r="168" spans="1:63" x14ac:dyDescent="0.2">
      <c r="A168" s="3" t="s">
        <v>175</v>
      </c>
      <c r="B168" s="3">
        <v>67.7</v>
      </c>
      <c r="C168" s="3">
        <v>85.1</v>
      </c>
      <c r="D168" s="3">
        <v>16.82</v>
      </c>
      <c r="E168" s="3">
        <v>60.2</v>
      </c>
      <c r="F168" s="3">
        <v>54.95</v>
      </c>
      <c r="G168" s="3">
        <v>173</v>
      </c>
      <c r="H168" s="3">
        <v>37.799999999999997</v>
      </c>
      <c r="I168" s="3">
        <v>111.8</v>
      </c>
      <c r="J168" s="3">
        <v>9.6300000000000008</v>
      </c>
      <c r="K168" s="3">
        <v>82.8</v>
      </c>
      <c r="L168" s="3">
        <v>25997.029297000001</v>
      </c>
      <c r="N168" s="3">
        <f t="shared" si="74"/>
        <v>5.1565491792455731E-3</v>
      </c>
      <c r="O168" s="3">
        <f t="shared" si="75"/>
        <v>-8.8522265873516304E-3</v>
      </c>
      <c r="P168" s="3">
        <f t="shared" si="76"/>
        <v>1.1820468600426182E-2</v>
      </c>
      <c r="Q168" s="3">
        <f t="shared" si="77"/>
        <v>0</v>
      </c>
      <c r="R168" s="3">
        <f t="shared" si="78"/>
        <v>5.4446595482318116E-3</v>
      </c>
      <c r="S168" s="3">
        <f t="shared" si="79"/>
        <v>2.3094698486625376E-3</v>
      </c>
      <c r="T168" s="3">
        <f t="shared" si="80"/>
        <v>1.5748356968138921E-2</v>
      </c>
      <c r="U168" s="3">
        <f t="shared" si="81"/>
        <v>2.1239736500911377E-2</v>
      </c>
      <c r="V168" s="3">
        <f t="shared" si="82"/>
        <v>4.1450836551684134E-3</v>
      </c>
      <c r="W168" s="3">
        <f t="shared" si="83"/>
        <v>2.9746393106419688E-2</v>
      </c>
      <c r="X168" s="3">
        <f t="shared" si="84"/>
        <v>4.7484916589812798E-3</v>
      </c>
      <c r="AZ168" s="3" t="s">
        <v>173</v>
      </c>
      <c r="BA168" s="3">
        <v>163</v>
      </c>
      <c r="BB168" s="3">
        <f t="shared" si="85"/>
        <v>0.99235798060092284</v>
      </c>
      <c r="BC168" s="3">
        <f t="shared" si="86"/>
        <v>0.99338159448599006</v>
      </c>
      <c r="BD168" s="3">
        <f t="shared" si="87"/>
        <v>1.0408374441248871</v>
      </c>
      <c r="BE168" s="3">
        <f t="shared" si="88"/>
        <v>1.0963529600789153</v>
      </c>
      <c r="BF168" s="3">
        <f t="shared" si="89"/>
        <v>0.98659097448763056</v>
      </c>
      <c r="BH168" s="3">
        <f t="shared" si="90"/>
        <v>-9.6949929081317707E-3</v>
      </c>
      <c r="BI168" s="3">
        <f t="shared" si="91"/>
        <v>-8.1621067147450779E-3</v>
      </c>
      <c r="BJ168" s="3">
        <f t="shared" si="92"/>
        <v>-4.1968449621220608E-3</v>
      </c>
      <c r="BK168" s="3">
        <f t="shared" si="93"/>
        <v>2.977289904553912E-3</v>
      </c>
    </row>
    <row r="169" spans="1:63" x14ac:dyDescent="0.2">
      <c r="A169" s="3" t="s">
        <v>176</v>
      </c>
      <c r="B169" s="3">
        <v>68.05</v>
      </c>
      <c r="C169" s="3">
        <v>84.35</v>
      </c>
      <c r="D169" s="3">
        <v>17.02</v>
      </c>
      <c r="E169" s="3">
        <v>60.2</v>
      </c>
      <c r="F169" s="3">
        <v>55.25</v>
      </c>
      <c r="G169" s="3">
        <v>173.4</v>
      </c>
      <c r="H169" s="3">
        <v>38.4</v>
      </c>
      <c r="I169" s="3">
        <v>114.2</v>
      </c>
      <c r="J169" s="3">
        <v>9.67</v>
      </c>
      <c r="K169" s="3">
        <v>85.3</v>
      </c>
      <c r="L169" s="3">
        <v>26120.769531000002</v>
      </c>
      <c r="N169" s="3">
        <f t="shared" si="74"/>
        <v>-1.4705885003216679E-3</v>
      </c>
      <c r="O169" s="3">
        <f t="shared" si="75"/>
        <v>1.0613307171649211E-2</v>
      </c>
      <c r="P169" s="3">
        <f t="shared" si="76"/>
        <v>1.1743982559413446E-3</v>
      </c>
      <c r="Q169" s="3">
        <f t="shared" si="77"/>
        <v>-3.3277900926753645E-3</v>
      </c>
      <c r="R169" s="3">
        <f t="shared" si="78"/>
        <v>-3.6264772291731973E-3</v>
      </c>
      <c r="S169" s="3">
        <f t="shared" si="79"/>
        <v>-5.203827875027045E-3</v>
      </c>
      <c r="T169" s="3">
        <f t="shared" si="80"/>
        <v>-9.1563752859862291E-3</v>
      </c>
      <c r="U169" s="3">
        <f t="shared" si="81"/>
        <v>-1.9452425926815842E-2</v>
      </c>
      <c r="V169" s="3">
        <f t="shared" si="82"/>
        <v>0</v>
      </c>
      <c r="W169" s="3">
        <f t="shared" si="83"/>
        <v>-4.1897210888931724E-2</v>
      </c>
      <c r="X169" s="3">
        <f t="shared" si="84"/>
        <v>-6.9715420627183278E-3</v>
      </c>
      <c r="AZ169" s="3" t="s">
        <v>174</v>
      </c>
      <c r="BA169" s="3">
        <v>164</v>
      </c>
      <c r="BB169" s="3">
        <f t="shared" si="85"/>
        <v>0.98278356396118449</v>
      </c>
      <c r="BC169" s="3">
        <f t="shared" si="86"/>
        <v>0.98530650759393523</v>
      </c>
      <c r="BD169" s="3">
        <f t="shared" si="87"/>
        <v>1.036478364330383</v>
      </c>
      <c r="BE169" s="3">
        <f t="shared" si="88"/>
        <v>1.0996219846809701</v>
      </c>
      <c r="BF169" s="3">
        <f t="shared" si="89"/>
        <v>0.97998586148811151</v>
      </c>
      <c r="BH169" s="3">
        <f t="shared" si="90"/>
        <v>-3.7503833119012925E-3</v>
      </c>
      <c r="BI169" s="3">
        <f t="shared" si="91"/>
        <v>-1.2303873209170927E-3</v>
      </c>
      <c r="BJ169" s="3">
        <f t="shared" si="92"/>
        <v>9.324338698649709E-3</v>
      </c>
      <c r="BK169" s="3">
        <f t="shared" si="93"/>
        <v>2.526764709971209E-2</v>
      </c>
    </row>
    <row r="170" spans="1:63" x14ac:dyDescent="0.2">
      <c r="A170" s="3" t="s">
        <v>177</v>
      </c>
      <c r="B170" s="3">
        <v>67.95</v>
      </c>
      <c r="C170" s="3">
        <v>85.25</v>
      </c>
      <c r="D170" s="3">
        <v>17.04</v>
      </c>
      <c r="E170" s="3">
        <v>60</v>
      </c>
      <c r="F170" s="3">
        <v>55.05</v>
      </c>
      <c r="G170" s="3">
        <v>172.5</v>
      </c>
      <c r="H170" s="3">
        <v>38.049999999999997</v>
      </c>
      <c r="I170" s="3">
        <v>112</v>
      </c>
      <c r="J170" s="3">
        <v>9.67</v>
      </c>
      <c r="K170" s="3">
        <v>81.8</v>
      </c>
      <c r="L170" s="3">
        <v>25939.300781000002</v>
      </c>
      <c r="N170" s="3">
        <f t="shared" si="74"/>
        <v>-3.6859606789239052E-3</v>
      </c>
      <c r="O170" s="3">
        <f t="shared" si="75"/>
        <v>-8.2450408190366531E-3</v>
      </c>
      <c r="P170" s="3">
        <f t="shared" si="76"/>
        <v>-8.2498994721418306E-3</v>
      </c>
      <c r="Q170" s="3">
        <f t="shared" si="77"/>
        <v>-1.5960019578729501E-2</v>
      </c>
      <c r="R170" s="3">
        <f t="shared" si="78"/>
        <v>-6.3781537407541222E-3</v>
      </c>
      <c r="S170" s="3">
        <f t="shared" si="79"/>
        <v>-1.1661939747843242E-2</v>
      </c>
      <c r="T170" s="3">
        <f t="shared" si="80"/>
        <v>-1.7230379887208436E-2</v>
      </c>
      <c r="U170" s="3">
        <f t="shared" si="81"/>
        <v>-1.529494503563722E-2</v>
      </c>
      <c r="V170" s="3">
        <f t="shared" si="82"/>
        <v>-3.1515213214872162E-2</v>
      </c>
      <c r="W170" s="3">
        <f t="shared" si="83"/>
        <v>-6.4375535235491554E-2</v>
      </c>
      <c r="X170" s="3">
        <f t="shared" si="84"/>
        <v>-4.4270233203906884E-3</v>
      </c>
      <c r="AZ170" s="3" t="s">
        <v>175</v>
      </c>
      <c r="BA170" s="3">
        <v>165</v>
      </c>
      <c r="BB170" s="3">
        <f t="shared" si="85"/>
        <v>0.97910465186107221</v>
      </c>
      <c r="BC170" s="3">
        <f t="shared" si="86"/>
        <v>0.9840949444585787</v>
      </c>
      <c r="BD170" s="3">
        <f t="shared" si="87"/>
        <v>1.0461880374444628</v>
      </c>
      <c r="BE170" s="3">
        <f t="shared" si="88"/>
        <v>1.1277608492850066</v>
      </c>
      <c r="BF170" s="3">
        <f t="shared" si="89"/>
        <v>0.98077015465871908</v>
      </c>
      <c r="BH170" s="3">
        <f t="shared" si="90"/>
        <v>8.9524338927864777E-3</v>
      </c>
      <c r="BI170" s="3">
        <f t="shared" si="91"/>
        <v>7.76756547544598E-3</v>
      </c>
      <c r="BJ170" s="3">
        <f t="shared" si="92"/>
        <v>3.8180499771299919E-3</v>
      </c>
      <c r="BK170" s="3">
        <f t="shared" si="93"/>
        <v>-2.3268959746727269E-3</v>
      </c>
    </row>
    <row r="171" spans="1:63" x14ac:dyDescent="0.2">
      <c r="A171" s="3" t="s">
        <v>178</v>
      </c>
      <c r="B171" s="3">
        <v>67.7</v>
      </c>
      <c r="C171" s="3">
        <v>84.55</v>
      </c>
      <c r="D171" s="3">
        <v>16.899999999999999</v>
      </c>
      <c r="E171" s="3">
        <v>59.05</v>
      </c>
      <c r="F171" s="3">
        <v>54.7</v>
      </c>
      <c r="G171" s="3">
        <v>170.5</v>
      </c>
      <c r="H171" s="3">
        <v>37.4</v>
      </c>
      <c r="I171" s="3">
        <v>110.3</v>
      </c>
      <c r="J171" s="3">
        <v>9.3699999999999992</v>
      </c>
      <c r="K171" s="3">
        <v>76.7</v>
      </c>
      <c r="L171" s="3">
        <v>25824.720702999999</v>
      </c>
      <c r="N171" s="3">
        <f t="shared" si="74"/>
        <v>-2.6189300754905886E-2</v>
      </c>
      <c r="O171" s="3">
        <f t="shared" si="75"/>
        <v>-1.9708013203340258E-2</v>
      </c>
      <c r="P171" s="3">
        <f t="shared" si="76"/>
        <v>-2.3953241022492744E-2</v>
      </c>
      <c r="Q171" s="3">
        <f t="shared" si="77"/>
        <v>-2.312736912931701E-2</v>
      </c>
      <c r="R171" s="3">
        <f t="shared" si="78"/>
        <v>-1.8450707913116204E-2</v>
      </c>
      <c r="S171" s="3">
        <f t="shared" si="79"/>
        <v>-2.6145280104322488E-2</v>
      </c>
      <c r="T171" s="3">
        <f t="shared" si="80"/>
        <v>-2.8476500440957953E-2</v>
      </c>
      <c r="U171" s="3">
        <f t="shared" si="81"/>
        <v>-1.8298772252512308E-2</v>
      </c>
      <c r="V171" s="3">
        <f t="shared" si="82"/>
        <v>-1.6138058681828049E-2</v>
      </c>
      <c r="W171" s="3">
        <f t="shared" si="83"/>
        <v>-1.7757783300705654E-2</v>
      </c>
      <c r="X171" s="3">
        <f t="shared" si="84"/>
        <v>-2.1267177062224363E-2</v>
      </c>
      <c r="AZ171" s="3" t="s">
        <v>176</v>
      </c>
      <c r="BA171" s="3">
        <v>166</v>
      </c>
      <c r="BB171" s="3">
        <f t="shared" si="85"/>
        <v>0.98790937457474715</v>
      </c>
      <c r="BC171" s="3">
        <f t="shared" si="86"/>
        <v>0.99176873111068053</v>
      </c>
      <c r="BD171" s="3">
        <f t="shared" si="87"/>
        <v>1.0501900707769005</v>
      </c>
      <c r="BE171" s="3">
        <f t="shared" si="88"/>
        <v>1.1251397178371836</v>
      </c>
      <c r="BF171" s="3">
        <f t="shared" si="89"/>
        <v>0.98543840836768004</v>
      </c>
      <c r="BH171" s="3">
        <f t="shared" si="90"/>
        <v>-7.2037303661522546E-3</v>
      </c>
      <c r="BI171" s="3">
        <f t="shared" si="91"/>
        <v>-5.8298125656982801E-3</v>
      </c>
      <c r="BJ171" s="3">
        <f t="shared" si="92"/>
        <v>2.0858879005688225E-3</v>
      </c>
      <c r="BK171" s="3">
        <f t="shared" si="93"/>
        <v>1.2567176935803961E-2</v>
      </c>
    </row>
    <row r="172" spans="1:63" x14ac:dyDescent="0.2">
      <c r="A172" s="3" t="s">
        <v>179</v>
      </c>
      <c r="B172" s="3">
        <v>65.95</v>
      </c>
      <c r="C172" s="3">
        <v>82.9</v>
      </c>
      <c r="D172" s="3">
        <v>16.5</v>
      </c>
      <c r="E172" s="3">
        <v>57.7</v>
      </c>
      <c r="F172" s="3">
        <v>53.7</v>
      </c>
      <c r="G172" s="3">
        <v>166.1</v>
      </c>
      <c r="H172" s="3">
        <v>36.35</v>
      </c>
      <c r="I172" s="3">
        <v>108.3</v>
      </c>
      <c r="J172" s="3">
        <v>9.2200000000000006</v>
      </c>
      <c r="K172" s="3">
        <v>75.349999999999994</v>
      </c>
      <c r="L172" s="3">
        <v>25281.300781000002</v>
      </c>
      <c r="N172" s="3">
        <f t="shared" si="74"/>
        <v>-1.2972329948799377E-2</v>
      </c>
      <c r="O172" s="3">
        <f t="shared" si="75"/>
        <v>-2.1335768180648529E-2</v>
      </c>
      <c r="P172" s="3">
        <f t="shared" si="76"/>
        <v>-1.8349138668196652E-2</v>
      </c>
      <c r="Q172" s="3">
        <f t="shared" si="77"/>
        <v>5.1858370323651926E-3</v>
      </c>
      <c r="R172" s="3">
        <f t="shared" si="78"/>
        <v>-1.5955289198572142E-2</v>
      </c>
      <c r="S172" s="3">
        <f t="shared" si="79"/>
        <v>-4.8280117922701038E-3</v>
      </c>
      <c r="T172" s="3">
        <f t="shared" si="80"/>
        <v>-8.2873402485703629E-3</v>
      </c>
      <c r="U172" s="3">
        <f t="shared" si="81"/>
        <v>0</v>
      </c>
      <c r="V172" s="3">
        <f t="shared" si="82"/>
        <v>-1.4200129379115189E-2</v>
      </c>
      <c r="W172" s="3">
        <f t="shared" si="83"/>
        <v>3.7764904347758588E-2</v>
      </c>
      <c r="X172" s="3">
        <f t="shared" si="84"/>
        <v>8.2945956654079112E-4</v>
      </c>
      <c r="AZ172" s="3" t="s">
        <v>177</v>
      </c>
      <c r="BA172" s="3">
        <v>167</v>
      </c>
      <c r="BB172" s="3">
        <f t="shared" si="85"/>
        <v>0.98081831352513038</v>
      </c>
      <c r="BC172" s="3">
        <f t="shared" si="86"/>
        <v>0.9860037260769674</v>
      </c>
      <c r="BD172" s="3">
        <f t="shared" si="87"/>
        <v>1.0523829357790362</v>
      </c>
      <c r="BE172" s="3">
        <f t="shared" si="88"/>
        <v>1.1393687699863797</v>
      </c>
      <c r="BF172" s="3">
        <f t="shared" si="89"/>
        <v>0.97859227483565514</v>
      </c>
      <c r="BH172" s="3">
        <f t="shared" si="90"/>
        <v>-1.7828904416148206E-2</v>
      </c>
      <c r="BI172" s="3">
        <f t="shared" si="91"/>
        <v>-1.5859097932808569E-2</v>
      </c>
      <c r="BJ172" s="3">
        <f t="shared" si="92"/>
        <v>-6.0175476676847528E-3</v>
      </c>
      <c r="BK172" s="3">
        <f t="shared" si="93"/>
        <v>7.4876873492942253E-3</v>
      </c>
    </row>
    <row r="173" spans="1:63" x14ac:dyDescent="0.2">
      <c r="A173" s="3" t="s">
        <v>180</v>
      </c>
      <c r="B173" s="3">
        <v>65.099999999999994</v>
      </c>
      <c r="C173" s="3">
        <v>81.150000000000006</v>
      </c>
      <c r="D173" s="3">
        <v>16.2</v>
      </c>
      <c r="E173" s="3">
        <v>58</v>
      </c>
      <c r="F173" s="3">
        <v>52.85</v>
      </c>
      <c r="G173" s="3">
        <v>165.3</v>
      </c>
      <c r="H173" s="3">
        <v>36.049999999999997</v>
      </c>
      <c r="I173" s="3">
        <v>108.3</v>
      </c>
      <c r="J173" s="3">
        <v>9.09</v>
      </c>
      <c r="K173" s="3">
        <v>78.25</v>
      </c>
      <c r="L173" s="3">
        <v>25302.279297000001</v>
      </c>
      <c r="N173" s="3">
        <f t="shared" si="74"/>
        <v>2.2028995626596881E-2</v>
      </c>
      <c r="O173" s="3">
        <f t="shared" si="75"/>
        <v>4.3037262862162251E-3</v>
      </c>
      <c r="P173" s="3">
        <f t="shared" si="76"/>
        <v>8.6048471935185056E-3</v>
      </c>
      <c r="Q173" s="3">
        <f t="shared" si="77"/>
        <v>-2.0906684819313348E-2</v>
      </c>
      <c r="R173" s="3">
        <f t="shared" si="78"/>
        <v>7.5400922732877795E-3</v>
      </c>
      <c r="S173" s="3">
        <f t="shared" si="79"/>
        <v>2.4500777390975337E-2</v>
      </c>
      <c r="T173" s="3">
        <f t="shared" si="80"/>
        <v>3.6763840689528315E-2</v>
      </c>
      <c r="U173" s="3">
        <f t="shared" si="81"/>
        <v>3.9824267038786054E-2</v>
      </c>
      <c r="V173" s="3">
        <f t="shared" si="82"/>
        <v>7.5207477487138963E-2</v>
      </c>
      <c r="W173" s="3">
        <f t="shared" si="83"/>
        <v>1.7733206935794499E-2</v>
      </c>
      <c r="X173" s="3">
        <f t="shared" si="84"/>
        <v>7.6059514226383129E-3</v>
      </c>
      <c r="AZ173" s="3" t="s">
        <v>178</v>
      </c>
      <c r="BA173" s="3">
        <v>168</v>
      </c>
      <c r="BB173" s="3">
        <f t="shared" si="85"/>
        <v>0.96348636152772782</v>
      </c>
      <c r="BC173" s="3">
        <f t="shared" si="86"/>
        <v>0.97048993891392643</v>
      </c>
      <c r="BD173" s="3">
        <f t="shared" si="87"/>
        <v>1.0460691869926582</v>
      </c>
      <c r="BE173" s="3">
        <f t="shared" si="88"/>
        <v>1.1479320265971436</v>
      </c>
      <c r="BF173" s="3">
        <f t="shared" si="89"/>
        <v>0.97426959936619917</v>
      </c>
      <c r="BH173" s="3">
        <f t="shared" si="90"/>
        <v>-2.1862180521392133E-2</v>
      </c>
      <c r="BI173" s="3">
        <f t="shared" si="91"/>
        <v>-2.1902538188669544E-2</v>
      </c>
      <c r="BJ173" s="3">
        <f t="shared" si="92"/>
        <v>-2.0758008274355189E-2</v>
      </c>
      <c r="BK173" s="3">
        <f t="shared" si="93"/>
        <v>-1.9228953561112538E-2</v>
      </c>
    </row>
    <row r="174" spans="1:63" x14ac:dyDescent="0.2">
      <c r="A174" s="3" t="s">
        <v>181</v>
      </c>
      <c r="B174" s="3">
        <v>66.55</v>
      </c>
      <c r="C174" s="3">
        <v>81.5</v>
      </c>
      <c r="D174" s="3">
        <v>16.34</v>
      </c>
      <c r="E174" s="3">
        <v>56.8</v>
      </c>
      <c r="F174" s="3">
        <v>53.25</v>
      </c>
      <c r="G174" s="3">
        <v>169.4</v>
      </c>
      <c r="H174" s="3">
        <v>37.4</v>
      </c>
      <c r="I174" s="3">
        <v>112.7</v>
      </c>
      <c r="J174" s="3">
        <v>9.8000000000000007</v>
      </c>
      <c r="K174" s="3">
        <v>79.650000000000006</v>
      </c>
      <c r="L174" s="3">
        <v>25495.460938</v>
      </c>
      <c r="N174" s="3">
        <f t="shared" si="74"/>
        <v>2.0082489723529662E-2</v>
      </c>
      <c r="O174" s="3">
        <f t="shared" si="75"/>
        <v>7.3349962115658585E-3</v>
      </c>
      <c r="P174" s="3">
        <f t="shared" si="76"/>
        <v>1.6990699995445446E-2</v>
      </c>
      <c r="Q174" s="3">
        <f t="shared" si="77"/>
        <v>-5.2956875747103282E-3</v>
      </c>
      <c r="R174" s="3">
        <f t="shared" si="78"/>
        <v>1.5836381262900989E-2</v>
      </c>
      <c r="S174" s="3">
        <f t="shared" si="79"/>
        <v>-1.2474174225175716E-2</v>
      </c>
      <c r="T174" s="3">
        <f t="shared" si="80"/>
        <v>2.2472855852058604E-2</v>
      </c>
      <c r="U174" s="3">
        <f t="shared" si="81"/>
        <v>3.5733649348395957E-2</v>
      </c>
      <c r="V174" s="3">
        <f t="shared" si="82"/>
        <v>6.1344650648694543E-2</v>
      </c>
      <c r="W174" s="3">
        <f t="shared" si="83"/>
        <v>2.2960983890759401E-2</v>
      </c>
      <c r="X174" s="3">
        <f t="shared" si="84"/>
        <v>9.3212171565930646E-3</v>
      </c>
      <c r="AZ174" s="3" t="s">
        <v>179</v>
      </c>
      <c r="BA174" s="3">
        <v>169</v>
      </c>
      <c r="BB174" s="3">
        <f t="shared" si="85"/>
        <v>0.94265103149114493</v>
      </c>
      <c r="BC174" s="3">
        <f t="shared" si="86"/>
        <v>0.94946483801165704</v>
      </c>
      <c r="BD174" s="3">
        <f t="shared" si="87"/>
        <v>1.0245786957243623</v>
      </c>
      <c r="BE174" s="3">
        <f t="shared" si="88"/>
        <v>1.1260693666467432</v>
      </c>
      <c r="BF174" s="3">
        <f t="shared" si="89"/>
        <v>0.9537684092165204</v>
      </c>
      <c r="BH174" s="3">
        <f t="shared" si="90"/>
        <v>-5.8109178267319941E-3</v>
      </c>
      <c r="BI174" s="3">
        <f t="shared" si="91"/>
        <v>-7.0688207054357827E-3</v>
      </c>
      <c r="BJ174" s="3">
        <f t="shared" si="92"/>
        <v>-2.0059317161312335E-2</v>
      </c>
      <c r="BK174" s="3">
        <f t="shared" si="93"/>
        <v>-3.5913587140863693E-2</v>
      </c>
    </row>
    <row r="175" spans="1:63" x14ac:dyDescent="0.2">
      <c r="A175" s="3" t="s">
        <v>182</v>
      </c>
      <c r="B175" s="3">
        <v>67.900000000000006</v>
      </c>
      <c r="C175" s="3">
        <v>82.1</v>
      </c>
      <c r="D175" s="3">
        <v>16.62</v>
      </c>
      <c r="E175" s="3">
        <v>56.5</v>
      </c>
      <c r="F175" s="3">
        <v>54.1</v>
      </c>
      <c r="G175" s="3">
        <v>167.3</v>
      </c>
      <c r="H175" s="3">
        <v>38.25</v>
      </c>
      <c r="I175" s="3">
        <v>116.8</v>
      </c>
      <c r="J175" s="3">
        <v>10.42</v>
      </c>
      <c r="K175" s="3">
        <v>81.5</v>
      </c>
      <c r="L175" s="3">
        <v>25734.220702999999</v>
      </c>
      <c r="N175" s="3">
        <f t="shared" si="74"/>
        <v>2.9744666546839937E-2</v>
      </c>
      <c r="O175" s="3">
        <f t="shared" si="75"/>
        <v>1.2106685403019846E-2</v>
      </c>
      <c r="P175" s="3">
        <f t="shared" si="76"/>
        <v>1.78895647507753E-2</v>
      </c>
      <c r="Q175" s="3">
        <f t="shared" si="77"/>
        <v>2.5339931633365786E-2</v>
      </c>
      <c r="R175" s="3">
        <f t="shared" si="78"/>
        <v>7.366515816762842E-3</v>
      </c>
      <c r="S175" s="3">
        <f t="shared" si="79"/>
        <v>4.041545642562383E-2</v>
      </c>
      <c r="T175" s="3">
        <f t="shared" si="80"/>
        <v>2.8352414590867347E-2</v>
      </c>
      <c r="U175" s="3">
        <f t="shared" si="81"/>
        <v>2.0339684237122846E-2</v>
      </c>
      <c r="V175" s="3">
        <f t="shared" si="82"/>
        <v>-3.8461585874784987E-3</v>
      </c>
      <c r="W175" s="3">
        <f t="shared" si="83"/>
        <v>4.2852835703266479E-3</v>
      </c>
      <c r="X175" s="3">
        <f t="shared" si="84"/>
        <v>2.1436967902831228E-2</v>
      </c>
      <c r="AZ175" s="3" t="s">
        <v>180</v>
      </c>
      <c r="BA175" s="3">
        <v>170</v>
      </c>
      <c r="BB175" s="3">
        <f t="shared" si="85"/>
        <v>0.937189248163805</v>
      </c>
      <c r="BC175" s="3">
        <f t="shared" si="86"/>
        <v>0.94277690704672512</v>
      </c>
      <c r="BD175" s="3">
        <f t="shared" si="87"/>
        <v>1.0042311083419959</v>
      </c>
      <c r="BE175" s="3">
        <f t="shared" si="88"/>
        <v>1.0863457545112727</v>
      </c>
      <c r="BF175" s="3">
        <f t="shared" si="89"/>
        <v>0.95455984973638797</v>
      </c>
      <c r="BH175" s="3">
        <f t="shared" si="90"/>
        <v>2.1526777896230191E-2</v>
      </c>
      <c r="BI175" s="3">
        <f t="shared" si="91"/>
        <v>1.6870448724500366E-2</v>
      </c>
      <c r="BJ175" s="3">
        <f t="shared" si="92"/>
        <v>1.3416624299055466E-2</v>
      </c>
      <c r="BK175" s="3">
        <f t="shared" si="93"/>
        <v>1.7821100981693649E-3</v>
      </c>
    </row>
    <row r="176" spans="1:63" x14ac:dyDescent="0.2">
      <c r="A176" s="3" t="s">
        <v>183</v>
      </c>
      <c r="B176" s="3">
        <v>69.95</v>
      </c>
      <c r="C176" s="3">
        <v>83.1</v>
      </c>
      <c r="D176" s="3">
        <v>16.920000000000002</v>
      </c>
      <c r="E176" s="3">
        <v>57.95</v>
      </c>
      <c r="F176" s="3">
        <v>54.5</v>
      </c>
      <c r="G176" s="3">
        <v>174.2</v>
      </c>
      <c r="H176" s="3">
        <v>39.35</v>
      </c>
      <c r="I176" s="3">
        <v>119.2</v>
      </c>
      <c r="J176" s="3">
        <v>10.38</v>
      </c>
      <c r="K176" s="3">
        <v>81.849999999999994</v>
      </c>
      <c r="L176" s="3">
        <v>26291.839843999998</v>
      </c>
      <c r="N176" s="3">
        <f t="shared" si="74"/>
        <v>2.1420929290538737E-3</v>
      </c>
      <c r="O176" s="3">
        <f t="shared" si="75"/>
        <v>-5.4298775943690814E-3</v>
      </c>
      <c r="P176" s="3">
        <f t="shared" si="76"/>
        <v>1.0582109330536937E-2</v>
      </c>
      <c r="Q176" s="3">
        <f t="shared" si="77"/>
        <v>-9.5362664602403058E-3</v>
      </c>
      <c r="R176" s="3">
        <f t="shared" si="78"/>
        <v>0</v>
      </c>
      <c r="S176" s="3">
        <f t="shared" si="79"/>
        <v>-1.5037877364540542E-2</v>
      </c>
      <c r="T176" s="3">
        <f t="shared" si="80"/>
        <v>-1.1501724239011857E-2</v>
      </c>
      <c r="U176" s="3">
        <f t="shared" si="81"/>
        <v>-2.1196215338739499E-2</v>
      </c>
      <c r="V176" s="3">
        <f t="shared" si="82"/>
        <v>-9.6806177107233715E-3</v>
      </c>
      <c r="W176" s="3">
        <f t="shared" si="83"/>
        <v>-2.4464844006697462E-3</v>
      </c>
      <c r="X176" s="3">
        <f t="shared" si="84"/>
        <v>-2.2961511139811819E-3</v>
      </c>
      <c r="AZ176" s="3" t="s">
        <v>181</v>
      </c>
      <c r="BA176" s="3">
        <v>171</v>
      </c>
      <c r="BB176" s="3">
        <f t="shared" si="85"/>
        <v>0.95758262730550647</v>
      </c>
      <c r="BC176" s="3">
        <f t="shared" si="86"/>
        <v>0.95881689700034278</v>
      </c>
      <c r="BD176" s="3">
        <f t="shared" si="87"/>
        <v>1.0177952891221043</v>
      </c>
      <c r="BE176" s="3">
        <f t="shared" si="88"/>
        <v>1.0882834683473532</v>
      </c>
      <c r="BF176" s="3">
        <f t="shared" si="89"/>
        <v>0.96184786660001698</v>
      </c>
      <c r="BH176" s="3">
        <f t="shared" si="90"/>
        <v>1.895670949623933E-2</v>
      </c>
      <c r="BI176" s="3">
        <f t="shared" si="91"/>
        <v>1.6237444621065421E-2</v>
      </c>
      <c r="BJ176" s="3">
        <f t="shared" si="92"/>
        <v>1.737441925635488E-2</v>
      </c>
      <c r="BK176" s="3">
        <f t="shared" si="93"/>
        <v>1.5197464978030109E-2</v>
      </c>
    </row>
    <row r="177" spans="1:63" x14ac:dyDescent="0.2">
      <c r="A177" s="3" t="s">
        <v>184</v>
      </c>
      <c r="B177" s="3">
        <v>70.099999999999994</v>
      </c>
      <c r="C177" s="3">
        <v>82.65</v>
      </c>
      <c r="D177" s="3">
        <v>17.100000000000001</v>
      </c>
      <c r="E177" s="3">
        <v>57.4</v>
      </c>
      <c r="F177" s="3">
        <v>54.5</v>
      </c>
      <c r="G177" s="3">
        <v>171.6</v>
      </c>
      <c r="H177" s="3">
        <v>38.9</v>
      </c>
      <c r="I177" s="3">
        <v>116.7</v>
      </c>
      <c r="J177" s="3">
        <v>10.28</v>
      </c>
      <c r="K177" s="3">
        <v>81.650000000000006</v>
      </c>
      <c r="L177" s="3">
        <v>26231.539063</v>
      </c>
      <c r="N177" s="3">
        <f t="shared" si="74"/>
        <v>1.6973533379705863E-2</v>
      </c>
      <c r="O177" s="3">
        <f t="shared" si="75"/>
        <v>-2.4227752614258691E-3</v>
      </c>
      <c r="P177" s="3">
        <f t="shared" si="76"/>
        <v>-5.4067221270276189E-2</v>
      </c>
      <c r="Q177" s="3">
        <f t="shared" si="77"/>
        <v>-3.4904049397690429E-3</v>
      </c>
      <c r="R177" s="3">
        <f t="shared" si="78"/>
        <v>-2.7560881019801364E-3</v>
      </c>
      <c r="S177" s="3">
        <f t="shared" si="79"/>
        <v>-1.7497817237872582E-3</v>
      </c>
      <c r="T177" s="3">
        <f t="shared" si="80"/>
        <v>-2.5740039951727134E-3</v>
      </c>
      <c r="U177" s="3">
        <f t="shared" si="81"/>
        <v>-2.5740039951722693E-3</v>
      </c>
      <c r="V177" s="3">
        <f t="shared" si="82"/>
        <v>-5.8536752514606327E-3</v>
      </c>
      <c r="W177" s="3">
        <f t="shared" si="83"/>
        <v>0</v>
      </c>
      <c r="X177" s="3">
        <f t="shared" si="84"/>
        <v>1.4666228435515904E-3</v>
      </c>
      <c r="AZ177" s="3" t="s">
        <v>182</v>
      </c>
      <c r="BA177" s="3">
        <v>172</v>
      </c>
      <c r="BB177" s="3">
        <f t="shared" si="85"/>
        <v>0.97590839230421556</v>
      </c>
      <c r="BC177" s="3">
        <f t="shared" si="86"/>
        <v>0.97451271842794585</v>
      </c>
      <c r="BD177" s="3">
        <f t="shared" si="87"/>
        <v>1.0356334059213654</v>
      </c>
      <c r="BE177" s="3">
        <f t="shared" si="88"/>
        <v>1.1049489339007654</v>
      </c>
      <c r="BF177" s="3">
        <f t="shared" si="89"/>
        <v>0.97085537468757954</v>
      </c>
      <c r="BH177" s="3">
        <f t="shared" si="90"/>
        <v>1.7960781485036874E-2</v>
      </c>
      <c r="BI177" s="3">
        <f t="shared" si="91"/>
        <v>1.8049255307494929E-2</v>
      </c>
      <c r="BJ177" s="3">
        <f t="shared" si="92"/>
        <v>1.2749370338862656E-2</v>
      </c>
      <c r="BK177" s="3">
        <f t="shared" si="93"/>
        <v>5.5264755610232308E-3</v>
      </c>
    </row>
    <row r="178" spans="1:63" x14ac:dyDescent="0.2">
      <c r="A178" s="3" t="s">
        <v>185</v>
      </c>
      <c r="B178" s="3">
        <v>71.3</v>
      </c>
      <c r="C178" s="3">
        <v>82.45</v>
      </c>
      <c r="D178" s="3">
        <v>16.2</v>
      </c>
      <c r="E178" s="3">
        <v>57.2</v>
      </c>
      <c r="F178" s="3">
        <v>54.35</v>
      </c>
      <c r="G178" s="3">
        <v>171.3</v>
      </c>
      <c r="H178" s="3">
        <v>38.799999999999997</v>
      </c>
      <c r="I178" s="3">
        <v>116.4</v>
      </c>
      <c r="J178" s="3">
        <v>10.220000000000001</v>
      </c>
      <c r="K178" s="3">
        <v>81.650000000000006</v>
      </c>
      <c r="L178" s="3">
        <v>26270.039063</v>
      </c>
      <c r="N178" s="3">
        <f t="shared" si="74"/>
        <v>-4.9209238141987299E-3</v>
      </c>
      <c r="O178" s="3">
        <f t="shared" si="75"/>
        <v>-1.1589028758790754E-2</v>
      </c>
      <c r="P178" s="3">
        <f t="shared" si="76"/>
        <v>-3.6459097826798459E-2</v>
      </c>
      <c r="Q178" s="3">
        <f t="shared" si="77"/>
        <v>-6.1376781892068522E-3</v>
      </c>
      <c r="R178" s="3">
        <f t="shared" si="78"/>
        <v>-5.5350694820011093E-3</v>
      </c>
      <c r="S178" s="3">
        <f t="shared" si="79"/>
        <v>-1.4701823168217665E-2</v>
      </c>
      <c r="T178" s="3">
        <f t="shared" si="80"/>
        <v>-3.2746868419084141E-2</v>
      </c>
      <c r="U178" s="3">
        <f t="shared" si="81"/>
        <v>-1.8205964496572413E-2</v>
      </c>
      <c r="V178" s="3">
        <f t="shared" si="82"/>
        <v>-1.5779420103965158E-2</v>
      </c>
      <c r="W178" s="3">
        <f t="shared" si="83"/>
        <v>-3.4260591564645004E-2</v>
      </c>
      <c r="X178" s="3">
        <f t="shared" si="84"/>
        <v>-8.4604329740418649E-3</v>
      </c>
      <c r="AZ178" s="3" t="s">
        <v>183</v>
      </c>
      <c r="BA178" s="3">
        <v>173</v>
      </c>
      <c r="BB178" s="3">
        <f t="shared" si="85"/>
        <v>0.99359482531458465</v>
      </c>
      <c r="BC178" s="3">
        <f t="shared" si="86"/>
        <v>0.99226164287300556</v>
      </c>
      <c r="BD178" s="3">
        <f t="shared" si="87"/>
        <v>1.0489216078572201</v>
      </c>
      <c r="BE178" s="3">
        <f t="shared" si="88"/>
        <v>1.111072311944727</v>
      </c>
      <c r="BF178" s="3">
        <f t="shared" si="89"/>
        <v>0.99189224797457243</v>
      </c>
      <c r="BH178" s="3">
        <f t="shared" si="90"/>
        <v>-6.0576292504398652E-3</v>
      </c>
      <c r="BI178" s="3">
        <f t="shared" si="91"/>
        <v>-4.8155507608560024E-3</v>
      </c>
      <c r="BJ178" s="3">
        <f t="shared" si="92"/>
        <v>1.0679222698303376E-3</v>
      </c>
      <c r="BK178" s="3">
        <f t="shared" si="93"/>
        <v>1.05349034962927E-2</v>
      </c>
    </row>
    <row r="179" spans="1:63" x14ac:dyDescent="0.2">
      <c r="A179" s="3" t="s">
        <v>186</v>
      </c>
      <c r="B179" s="3">
        <v>70.95</v>
      </c>
      <c r="C179" s="3">
        <v>81.5</v>
      </c>
      <c r="D179" s="3">
        <v>15.62</v>
      </c>
      <c r="E179" s="3">
        <v>56.85</v>
      </c>
      <c r="F179" s="3">
        <v>54.05</v>
      </c>
      <c r="G179" s="3">
        <v>168.8</v>
      </c>
      <c r="H179" s="3">
        <v>37.549999999999997</v>
      </c>
      <c r="I179" s="3">
        <v>114.3</v>
      </c>
      <c r="J179" s="3">
        <v>10.06</v>
      </c>
      <c r="K179" s="3">
        <v>78.900000000000006</v>
      </c>
      <c r="L179" s="3">
        <v>26048.720702999999</v>
      </c>
      <c r="N179" s="3">
        <f t="shared" si="74"/>
        <v>-4.2372944755149078E-3</v>
      </c>
      <c r="O179" s="3">
        <f t="shared" si="75"/>
        <v>-6.1538655743778037E-3</v>
      </c>
      <c r="P179" s="3">
        <f t="shared" si="76"/>
        <v>1.3986241974739855E-2</v>
      </c>
      <c r="Q179" s="3">
        <f t="shared" si="77"/>
        <v>4.387896465419594E-3</v>
      </c>
      <c r="R179" s="3">
        <f t="shared" si="78"/>
        <v>6.454609776679554E-3</v>
      </c>
      <c r="S179" s="3">
        <f t="shared" si="79"/>
        <v>-7.7312308967361076E-3</v>
      </c>
      <c r="T179" s="3">
        <f t="shared" si="80"/>
        <v>6.6357244153985029E-3</v>
      </c>
      <c r="U179" s="3">
        <f t="shared" si="81"/>
        <v>0</v>
      </c>
      <c r="V179" s="3">
        <f t="shared" si="82"/>
        <v>7.9208334914437906E-3</v>
      </c>
      <c r="W179" s="3">
        <f t="shared" si="83"/>
        <v>-1.2755274975126518E-2</v>
      </c>
      <c r="X179" s="3">
        <f t="shared" si="84"/>
        <v>5.0015133750687113E-3</v>
      </c>
      <c r="AZ179" s="3" t="s">
        <v>184</v>
      </c>
      <c r="BA179" s="3">
        <v>174</v>
      </c>
      <c r="BB179" s="3">
        <f t="shared" si="85"/>
        <v>0.98759418940085886</v>
      </c>
      <c r="BC179" s="3">
        <f t="shared" si="86"/>
        <v>0.98749484315834646</v>
      </c>
      <c r="BD179" s="3">
        <f t="shared" si="87"/>
        <v>1.0500423729400372</v>
      </c>
      <c r="BE179" s="3">
        <f t="shared" si="88"/>
        <v>1.1228392243435157</v>
      </c>
      <c r="BF179" s="3">
        <f t="shared" si="89"/>
        <v>0.98961732626595111</v>
      </c>
      <c r="BH179" s="3">
        <f t="shared" si="90"/>
        <v>-7.0111716683595292E-3</v>
      </c>
      <c r="BI179" s="3">
        <f t="shared" si="91"/>
        <v>-7.9890083790030968E-3</v>
      </c>
      <c r="BJ179" s="3">
        <f t="shared" si="92"/>
        <v>-1.5101482146425198E-2</v>
      </c>
      <c r="BK179" s="3">
        <f t="shared" si="93"/>
        <v>-2.3034215945783337E-2</v>
      </c>
    </row>
    <row r="180" spans="1:63" x14ac:dyDescent="0.2">
      <c r="A180" s="3" t="s">
        <v>187</v>
      </c>
      <c r="B180" s="3">
        <v>70.650000000000006</v>
      </c>
      <c r="C180" s="3">
        <v>81</v>
      </c>
      <c r="D180" s="3">
        <v>15.84</v>
      </c>
      <c r="E180" s="3">
        <v>57.1</v>
      </c>
      <c r="F180" s="3">
        <v>54.4</v>
      </c>
      <c r="G180" s="3">
        <v>167.5</v>
      </c>
      <c r="H180" s="3">
        <v>37.799999999999997</v>
      </c>
      <c r="I180" s="3">
        <v>114.3</v>
      </c>
      <c r="J180" s="3">
        <v>10.14</v>
      </c>
      <c r="K180" s="3">
        <v>77.900000000000006</v>
      </c>
      <c r="L180" s="3">
        <v>26179.330077999999</v>
      </c>
      <c r="N180" s="3">
        <f t="shared" si="74"/>
        <v>-1.9293202934679066E-2</v>
      </c>
      <c r="O180" s="3">
        <f t="shared" si="75"/>
        <v>-1.7435061822101972E-2</v>
      </c>
      <c r="P180" s="3">
        <f t="shared" si="76"/>
        <v>-2.0408871631206971E-2</v>
      </c>
      <c r="Q180" s="3">
        <f t="shared" si="77"/>
        <v>-1.5887359762318809E-2</v>
      </c>
      <c r="R180" s="3">
        <f t="shared" si="78"/>
        <v>-2.0427822690098019E-2</v>
      </c>
      <c r="S180" s="3">
        <f t="shared" si="79"/>
        <v>-1.0201108563926198E-2</v>
      </c>
      <c r="T180" s="3">
        <f t="shared" si="80"/>
        <v>-2.4097551579060461E-2</v>
      </c>
      <c r="U180" s="3">
        <f t="shared" si="81"/>
        <v>-2.1220955482885273E-2</v>
      </c>
      <c r="V180" s="3">
        <f t="shared" si="82"/>
        <v>-3.0032287098875177E-2</v>
      </c>
      <c r="W180" s="3">
        <f t="shared" si="83"/>
        <v>2.5641039689379141E-3</v>
      </c>
      <c r="X180" s="3">
        <f t="shared" si="84"/>
        <v>-1.9244838834890032E-2</v>
      </c>
      <c r="AZ180" s="3" t="s">
        <v>185</v>
      </c>
      <c r="BA180" s="3">
        <v>175</v>
      </c>
      <c r="BB180" s="3">
        <f t="shared" si="85"/>
        <v>0.98069421372217136</v>
      </c>
      <c r="BC180" s="3">
        <f t="shared" si="86"/>
        <v>0.97963716789138366</v>
      </c>
      <c r="BD180" s="3">
        <f t="shared" si="87"/>
        <v>1.0343043099247977</v>
      </c>
      <c r="BE180" s="3">
        <f t="shared" si="88"/>
        <v>1.0972711044490726</v>
      </c>
      <c r="BF180" s="3">
        <f t="shared" si="89"/>
        <v>0.99106978648834732</v>
      </c>
      <c r="BH180" s="3">
        <f t="shared" si="90"/>
        <v>-1.8576789899758552E-2</v>
      </c>
      <c r="BI180" s="3">
        <f t="shared" si="91"/>
        <v>-1.7498921718136617E-2</v>
      </c>
      <c r="BJ180" s="3">
        <f t="shared" si="92"/>
        <v>-1.5579694433016378E-2</v>
      </c>
      <c r="BK180" s="3">
        <f t="shared" si="93"/>
        <v>-1.0356165610450566E-2</v>
      </c>
    </row>
    <row r="181" spans="1:63" x14ac:dyDescent="0.2">
      <c r="A181" s="3" t="s">
        <v>188</v>
      </c>
      <c r="B181" s="3">
        <v>69.3</v>
      </c>
      <c r="C181" s="3">
        <v>79.599999999999994</v>
      </c>
      <c r="D181" s="3">
        <v>15.52</v>
      </c>
      <c r="E181" s="3">
        <v>56.2</v>
      </c>
      <c r="F181" s="3">
        <v>53.3</v>
      </c>
      <c r="G181" s="3">
        <v>165.8</v>
      </c>
      <c r="H181" s="3">
        <v>36.9</v>
      </c>
      <c r="I181" s="3">
        <v>111.9</v>
      </c>
      <c r="J181" s="3">
        <v>9.84</v>
      </c>
      <c r="K181" s="3">
        <v>78.099999999999994</v>
      </c>
      <c r="L181" s="3">
        <v>25680.330077999999</v>
      </c>
      <c r="N181" s="3">
        <f t="shared" si="74"/>
        <v>0</v>
      </c>
      <c r="O181" s="3">
        <f t="shared" si="75"/>
        <v>3.1357818106840796E-3</v>
      </c>
      <c r="P181" s="3">
        <f t="shared" si="76"/>
        <v>-5.1679701584426141E-3</v>
      </c>
      <c r="Q181" s="3">
        <f t="shared" si="77"/>
        <v>-2.6726073814771212E-3</v>
      </c>
      <c r="R181" s="3">
        <f t="shared" si="78"/>
        <v>3.7453227301620373E-3</v>
      </c>
      <c r="S181" s="3">
        <f t="shared" si="79"/>
        <v>6.6125879665950293E-3</v>
      </c>
      <c r="T181" s="3">
        <f t="shared" si="80"/>
        <v>-1.3559324111360738E-3</v>
      </c>
      <c r="U181" s="3">
        <f t="shared" si="81"/>
        <v>5.3476063265947005E-3</v>
      </c>
      <c r="V181" s="3">
        <f t="shared" si="82"/>
        <v>2.0304575503820033E-3</v>
      </c>
      <c r="W181" s="3">
        <f t="shared" si="83"/>
        <v>4.4714223334016978E-3</v>
      </c>
      <c r="X181" s="3">
        <f t="shared" si="84"/>
        <v>-6.3336081129428123E-4</v>
      </c>
      <c r="AZ181" s="3" t="s">
        <v>186</v>
      </c>
      <c r="BA181" s="3">
        <v>176</v>
      </c>
      <c r="BB181" s="3">
        <f t="shared" si="85"/>
        <v>0.96264423774358343</v>
      </c>
      <c r="BC181" s="3">
        <f t="shared" si="86"/>
        <v>0.96264369116974224</v>
      </c>
      <c r="BD181" s="3">
        <f t="shared" si="87"/>
        <v>1.0183150421955776</v>
      </c>
      <c r="BE181" s="3">
        <f t="shared" si="88"/>
        <v>1.0859662218275181</v>
      </c>
      <c r="BF181" s="3">
        <f t="shared" si="89"/>
        <v>0.98272027702377696</v>
      </c>
      <c r="BH181" s="3">
        <f t="shared" si="90"/>
        <v>1.2353098924989883E-3</v>
      </c>
      <c r="BI181" s="3">
        <f t="shared" si="91"/>
        <v>1.6438894606007406E-3</v>
      </c>
      <c r="BJ181" s="3">
        <f t="shared" si="92"/>
        <v>5.0077027598523574E-3</v>
      </c>
      <c r="BK181" s="3">
        <f t="shared" si="93"/>
        <v>9.3294727658598808E-3</v>
      </c>
    </row>
    <row r="182" spans="1:63" x14ac:dyDescent="0.2">
      <c r="A182" s="3" t="s">
        <v>189</v>
      </c>
      <c r="B182" s="3">
        <v>69.3</v>
      </c>
      <c r="C182" s="3">
        <v>79.849999999999994</v>
      </c>
      <c r="D182" s="3">
        <v>15.44</v>
      </c>
      <c r="E182" s="3">
        <v>56.05</v>
      </c>
      <c r="F182" s="3">
        <v>53.5</v>
      </c>
      <c r="G182" s="3">
        <v>166.9</v>
      </c>
      <c r="H182" s="3">
        <v>36.85</v>
      </c>
      <c r="I182" s="3">
        <v>112.5</v>
      </c>
      <c r="J182" s="3">
        <v>9.86</v>
      </c>
      <c r="K182" s="3">
        <v>78.45</v>
      </c>
      <c r="L182" s="3">
        <v>25664.070313</v>
      </c>
      <c r="N182" s="3">
        <f t="shared" si="74"/>
        <v>-1.0881500187534421E-2</v>
      </c>
      <c r="O182" s="3">
        <f t="shared" si="75"/>
        <v>-3.7641198772258022E-3</v>
      </c>
      <c r="P182" s="3">
        <f t="shared" si="76"/>
        <v>-9.1087161982401632E-3</v>
      </c>
      <c r="Q182" s="3">
        <f t="shared" si="77"/>
        <v>0</v>
      </c>
      <c r="R182" s="3">
        <f t="shared" si="78"/>
        <v>3.7313476128582046E-3</v>
      </c>
      <c r="S182" s="3">
        <f t="shared" si="79"/>
        <v>-7.8195887166305766E-3</v>
      </c>
      <c r="T182" s="3">
        <f t="shared" si="80"/>
        <v>1.3559324111360738E-3</v>
      </c>
      <c r="U182" s="3">
        <f t="shared" si="81"/>
        <v>6.2029441246078676E-3</v>
      </c>
      <c r="V182" s="3">
        <f t="shared" si="82"/>
        <v>1.4098924379501998E-2</v>
      </c>
      <c r="W182" s="3">
        <f t="shared" si="83"/>
        <v>-7.035526302339612E-3</v>
      </c>
      <c r="X182" s="3">
        <f t="shared" si="84"/>
        <v>-1.8950968875941498E-3</v>
      </c>
      <c r="AZ182" s="3" t="s">
        <v>187</v>
      </c>
      <c r="BA182" s="3">
        <v>177</v>
      </c>
      <c r="BB182" s="3">
        <f t="shared" si="85"/>
        <v>0.96383413648895633</v>
      </c>
      <c r="BC182" s="3">
        <f t="shared" si="86"/>
        <v>0.96422747241195206</v>
      </c>
      <c r="BD182" s="3">
        <f t="shared" si="87"/>
        <v>1.0234272507700026</v>
      </c>
      <c r="BE182" s="3">
        <f t="shared" si="88"/>
        <v>1.0961451221754384</v>
      </c>
      <c r="BF182" s="3">
        <f t="shared" si="89"/>
        <v>0.98764767759155681</v>
      </c>
      <c r="BH182" s="3">
        <f t="shared" si="90"/>
        <v>-1.7903074803073279E-2</v>
      </c>
      <c r="BI182" s="3">
        <f t="shared" si="91"/>
        <v>-1.774572784925213E-2</v>
      </c>
      <c r="BJ182" s="3">
        <f t="shared" si="92"/>
        <v>-2.0955160326221269E-2</v>
      </c>
      <c r="BK182" s="3">
        <f t="shared" si="93"/>
        <v>-2.4216155184450874E-2</v>
      </c>
    </row>
    <row r="183" spans="1:63" x14ac:dyDescent="0.2">
      <c r="A183" s="3" t="s">
        <v>190</v>
      </c>
      <c r="B183" s="3">
        <v>68.55</v>
      </c>
      <c r="C183" s="3">
        <v>79.55</v>
      </c>
      <c r="D183" s="3">
        <v>15.3</v>
      </c>
      <c r="E183" s="3">
        <v>56.05</v>
      </c>
      <c r="F183" s="3">
        <v>53.7</v>
      </c>
      <c r="G183" s="3">
        <v>165.6</v>
      </c>
      <c r="H183" s="3">
        <v>36.9</v>
      </c>
      <c r="I183" s="3">
        <v>113.2</v>
      </c>
      <c r="J183" s="3">
        <v>10</v>
      </c>
      <c r="K183" s="3">
        <v>77.900000000000006</v>
      </c>
      <c r="L183" s="3">
        <v>25615.480468999998</v>
      </c>
      <c r="N183" s="3">
        <f t="shared" si="74"/>
        <v>3.640338930974707E-3</v>
      </c>
      <c r="O183" s="3">
        <f t="shared" si="75"/>
        <v>3.5199682131630716E-2</v>
      </c>
      <c r="P183" s="3">
        <f t="shared" si="76"/>
        <v>7.8125397367934113E-3</v>
      </c>
      <c r="Q183" s="3">
        <f t="shared" si="77"/>
        <v>1.7825316662838375E-3</v>
      </c>
      <c r="R183" s="3">
        <f t="shared" si="78"/>
        <v>-4.666364043764748E-3</v>
      </c>
      <c r="S183" s="3">
        <f t="shared" si="79"/>
        <v>7.8195887166305766E-3</v>
      </c>
      <c r="T183" s="3">
        <f t="shared" si="80"/>
        <v>-5.434795985956864E-3</v>
      </c>
      <c r="U183" s="3">
        <f t="shared" si="81"/>
        <v>-8.8378264700761378E-4</v>
      </c>
      <c r="V183" s="3">
        <f t="shared" si="82"/>
        <v>-4.0080213975390855E-3</v>
      </c>
      <c r="W183" s="3">
        <f t="shared" si="83"/>
        <v>1.9236940847386919E-3</v>
      </c>
      <c r="X183" s="3">
        <f t="shared" si="84"/>
        <v>3.4302948540876343E-3</v>
      </c>
      <c r="AZ183" s="3" t="s">
        <v>188</v>
      </c>
      <c r="BA183" s="3">
        <v>178</v>
      </c>
      <c r="BB183" s="3">
        <f t="shared" si="85"/>
        <v>0.94673208826336575</v>
      </c>
      <c r="BC183" s="3">
        <f t="shared" si="86"/>
        <v>0.94726748285268092</v>
      </c>
      <c r="BD183" s="3">
        <f t="shared" si="87"/>
        <v>1.0022043103180058</v>
      </c>
      <c r="BE183" s="3">
        <f t="shared" si="88"/>
        <v>1.0699195249516944</v>
      </c>
      <c r="BF183" s="3">
        <f t="shared" si="89"/>
        <v>0.9688222840597206</v>
      </c>
      <c r="BH183" s="3">
        <f t="shared" si="90"/>
        <v>1.5730521148416485E-3</v>
      </c>
      <c r="BI183" s="3">
        <f t="shared" si="91"/>
        <v>1.3456005711208266E-3</v>
      </c>
      <c r="BJ183" s="3">
        <f t="shared" si="92"/>
        <v>1.3032154429163463E-3</v>
      </c>
      <c r="BK183" s="3">
        <f t="shared" si="93"/>
        <v>1.0762451043904442E-3</v>
      </c>
    </row>
    <row r="184" spans="1:63" x14ac:dyDescent="0.2">
      <c r="A184" s="3" t="s">
        <v>191</v>
      </c>
      <c r="B184" s="3">
        <v>68.8</v>
      </c>
      <c r="C184" s="3">
        <v>82.4</v>
      </c>
      <c r="D184" s="3">
        <v>15.42</v>
      </c>
      <c r="E184" s="3">
        <v>56.15</v>
      </c>
      <c r="F184" s="3">
        <v>53.45</v>
      </c>
      <c r="G184" s="3">
        <v>166.9</v>
      </c>
      <c r="H184" s="3">
        <v>36.700000000000003</v>
      </c>
      <c r="I184" s="3">
        <v>113.1</v>
      </c>
      <c r="J184" s="3">
        <v>9.9600000000000009</v>
      </c>
      <c r="K184" s="3">
        <v>78.05</v>
      </c>
      <c r="L184" s="3">
        <v>25703.5</v>
      </c>
      <c r="N184" s="3">
        <f t="shared" si="74"/>
        <v>-7.2939783625534105E-3</v>
      </c>
      <c r="O184" s="3">
        <f t="shared" si="75"/>
        <v>-2.0227474812660518E-2</v>
      </c>
      <c r="P184" s="3">
        <f t="shared" si="76"/>
        <v>-1.8325120125880279E-2</v>
      </c>
      <c r="Q184" s="3">
        <f t="shared" si="77"/>
        <v>2.6678539611921792E-3</v>
      </c>
      <c r="R184" s="3">
        <f t="shared" si="78"/>
        <v>-2.3664142582461078E-2</v>
      </c>
      <c r="S184" s="3">
        <f t="shared" si="79"/>
        <v>-1.9970406499142612E-2</v>
      </c>
      <c r="T184" s="3">
        <f t="shared" si="80"/>
        <v>-5.4644944720787514E-3</v>
      </c>
      <c r="U184" s="3">
        <f t="shared" si="81"/>
        <v>-1.7841686476490537E-2</v>
      </c>
      <c r="V184" s="3">
        <f t="shared" si="82"/>
        <v>-1.8237587549780887E-2</v>
      </c>
      <c r="W184" s="3">
        <f t="shared" si="83"/>
        <v>-1.6796260494134074E-2</v>
      </c>
      <c r="X184" s="3">
        <f t="shared" si="84"/>
        <v>8.2563487066877883E-4</v>
      </c>
      <c r="AZ184" s="3" t="s">
        <v>189</v>
      </c>
      <c r="BA184" s="3">
        <v>179</v>
      </c>
      <c r="BB184" s="3">
        <f t="shared" si="85"/>
        <v>0.94822251913237376</v>
      </c>
      <c r="BC184" s="3">
        <f t="shared" si="86"/>
        <v>0.94854298448401719</v>
      </c>
      <c r="BD184" s="3">
        <f t="shared" si="87"/>
        <v>1.0035112498791068</v>
      </c>
      <c r="BE184" s="3">
        <f t="shared" si="88"/>
        <v>1.0710716404706506</v>
      </c>
      <c r="BF184" s="3">
        <f t="shared" si="89"/>
        <v>0.96820886427042174</v>
      </c>
      <c r="BH184" s="3">
        <f t="shared" si="90"/>
        <v>-1.1855826237269426E-3</v>
      </c>
      <c r="BI184" s="3">
        <f t="shared" si="91"/>
        <v>-1.771431046222495E-3</v>
      </c>
      <c r="BJ184" s="3">
        <f t="shared" si="92"/>
        <v>-1.6572394160238829E-3</v>
      </c>
      <c r="BK184" s="3">
        <f t="shared" si="93"/>
        <v>-2.2878003107127814E-3</v>
      </c>
    </row>
    <row r="185" spans="1:63" x14ac:dyDescent="0.2">
      <c r="A185" s="3" t="s">
        <v>192</v>
      </c>
      <c r="B185" s="3">
        <v>68.3</v>
      </c>
      <c r="C185" s="3">
        <v>80.75</v>
      </c>
      <c r="D185" s="3">
        <v>15.14</v>
      </c>
      <c r="E185" s="3">
        <v>56.3</v>
      </c>
      <c r="F185" s="3">
        <v>52.2</v>
      </c>
      <c r="G185" s="3">
        <v>163.6</v>
      </c>
      <c r="H185" s="3">
        <v>36.5</v>
      </c>
      <c r="I185" s="3">
        <v>111.1</v>
      </c>
      <c r="J185" s="3">
        <v>9.7799999999999994</v>
      </c>
      <c r="K185" s="3">
        <v>76.75</v>
      </c>
      <c r="L185" s="3">
        <v>25724.730468999998</v>
      </c>
      <c r="N185" s="3">
        <f t="shared" si="74"/>
        <v>-1.9963694439562474E-2</v>
      </c>
      <c r="O185" s="3">
        <f t="shared" si="75"/>
        <v>-2.9534034746403037E-2</v>
      </c>
      <c r="P185" s="3">
        <f t="shared" si="76"/>
        <v>-1.5979035057889668E-2</v>
      </c>
      <c r="Q185" s="3">
        <f t="shared" si="77"/>
        <v>-4.4503856274760167E-3</v>
      </c>
      <c r="R185" s="3">
        <f t="shared" si="78"/>
        <v>-1.2530284425624316E-2</v>
      </c>
      <c r="S185" s="3">
        <f t="shared" si="79"/>
        <v>-1.7263067423781031E-2</v>
      </c>
      <c r="T185" s="3">
        <f t="shared" si="80"/>
        <v>-1.101939524961093E-2</v>
      </c>
      <c r="U185" s="3">
        <f t="shared" si="81"/>
        <v>-2.8299469521364529E-2</v>
      </c>
      <c r="V185" s="3">
        <f t="shared" si="82"/>
        <v>-1.3381568695831181E-2</v>
      </c>
      <c r="W185" s="3">
        <f t="shared" si="83"/>
        <v>-1.4435946232941532E-2</v>
      </c>
      <c r="X185" s="3">
        <f t="shared" si="84"/>
        <v>-3.8238503593532869E-3</v>
      </c>
      <c r="AZ185" s="3" t="s">
        <v>190</v>
      </c>
      <c r="BA185" s="3">
        <v>180</v>
      </c>
      <c r="BB185" s="3">
        <f t="shared" si="85"/>
        <v>0.94709898914068491</v>
      </c>
      <c r="BC185" s="3">
        <f t="shared" si="86"/>
        <v>0.946864193362981</v>
      </c>
      <c r="BD185" s="3">
        <f t="shared" si="87"/>
        <v>1.0018495687634139</v>
      </c>
      <c r="BE185" s="3">
        <f t="shared" si="88"/>
        <v>1.0686240433131213</v>
      </c>
      <c r="BF185" s="3">
        <f t="shared" si="89"/>
        <v>0.96637575217633243</v>
      </c>
      <c r="BH185" s="3">
        <f t="shared" si="90"/>
        <v>4.2148734699697377E-3</v>
      </c>
      <c r="BI185" s="3">
        <f t="shared" si="91"/>
        <v>4.9198300922871016E-3</v>
      </c>
      <c r="BJ185" s="3">
        <f t="shared" si="92"/>
        <v>8.5701819141603616E-3</v>
      </c>
      <c r="BK185" s="3">
        <f t="shared" si="93"/>
        <v>1.2917692438296047E-2</v>
      </c>
    </row>
    <row r="186" spans="1:63" x14ac:dyDescent="0.2">
      <c r="A186" s="3" t="s">
        <v>193</v>
      </c>
      <c r="B186" s="3">
        <v>66.95</v>
      </c>
      <c r="C186" s="3">
        <v>78.400000000000006</v>
      </c>
      <c r="D186" s="3">
        <v>14.9</v>
      </c>
      <c r="E186" s="3">
        <v>56.05</v>
      </c>
      <c r="F186" s="3">
        <v>51.55</v>
      </c>
      <c r="G186" s="3">
        <v>160.80000000000001</v>
      </c>
      <c r="H186" s="3">
        <v>36.1</v>
      </c>
      <c r="I186" s="3">
        <v>108</v>
      </c>
      <c r="J186" s="3">
        <v>9.65</v>
      </c>
      <c r="K186" s="3">
        <v>75.650000000000006</v>
      </c>
      <c r="L186" s="3">
        <v>25626.550781000002</v>
      </c>
      <c r="N186" s="3">
        <f t="shared" si="74"/>
        <v>-5.2414945908383359E-3</v>
      </c>
      <c r="O186" s="3">
        <f t="shared" si="75"/>
        <v>5.7233860526846314E-3</v>
      </c>
      <c r="P186" s="3">
        <f t="shared" si="76"/>
        <v>6.6889881507967708E-3</v>
      </c>
      <c r="Q186" s="3">
        <f t="shared" si="77"/>
        <v>-1.7857147602340362E-3</v>
      </c>
      <c r="R186" s="3">
        <f t="shared" si="78"/>
        <v>-6.8126784175066568E-3</v>
      </c>
      <c r="S186" s="3">
        <f t="shared" si="79"/>
        <v>-6.2208400139951436E-4</v>
      </c>
      <c r="T186" s="3">
        <f t="shared" si="80"/>
        <v>-1.3947227480850088E-2</v>
      </c>
      <c r="U186" s="3">
        <f t="shared" si="81"/>
        <v>-9.2635486013126211E-4</v>
      </c>
      <c r="V186" s="3">
        <f t="shared" si="82"/>
        <v>-2.0746895408603194E-3</v>
      </c>
      <c r="W186" s="3">
        <f t="shared" si="83"/>
        <v>0</v>
      </c>
      <c r="X186" s="3">
        <f t="shared" si="84"/>
        <v>-3.8589561692390362E-3</v>
      </c>
      <c r="AZ186" s="3" t="s">
        <v>191</v>
      </c>
      <c r="BA186" s="3">
        <v>181</v>
      </c>
      <c r="BB186" s="3">
        <f t="shared" si="85"/>
        <v>0.95109931605714315</v>
      </c>
      <c r="BC186" s="3">
        <f t="shared" si="86"/>
        <v>0.9515340824257208</v>
      </c>
      <c r="BD186" s="3">
        <f t="shared" si="87"/>
        <v>1.0104724990810365</v>
      </c>
      <c r="BE186" s="3">
        <f t="shared" si="88"/>
        <v>1.0825177441144795</v>
      </c>
      <c r="BF186" s="3">
        <f t="shared" si="89"/>
        <v>0.9696963980872797</v>
      </c>
      <c r="BH186" s="3">
        <f t="shared" si="90"/>
        <v>-1.4821341708418444E-2</v>
      </c>
      <c r="BI186" s="3">
        <f t="shared" si="91"/>
        <v>-1.4957444562737364E-2</v>
      </c>
      <c r="BJ186" s="3">
        <f t="shared" si="92"/>
        <v>-2.1378849776721172E-2</v>
      </c>
      <c r="BK186" s="3">
        <f t="shared" si="93"/>
        <v>-2.924868573246913E-2</v>
      </c>
    </row>
    <row r="187" spans="1:63" x14ac:dyDescent="0.2">
      <c r="A187" s="3" t="s">
        <v>194</v>
      </c>
      <c r="B187" s="3">
        <v>66.599999999999994</v>
      </c>
      <c r="C187" s="3">
        <v>78.849999999999994</v>
      </c>
      <c r="D187" s="3">
        <v>15</v>
      </c>
      <c r="E187" s="3">
        <v>55.95</v>
      </c>
      <c r="F187" s="3">
        <v>51.2</v>
      </c>
      <c r="G187" s="3">
        <v>160.69999999999999</v>
      </c>
      <c r="H187" s="3">
        <v>35.6</v>
      </c>
      <c r="I187" s="3">
        <v>107.9</v>
      </c>
      <c r="J187" s="3">
        <v>9.6300000000000008</v>
      </c>
      <c r="K187" s="3">
        <v>75.650000000000006</v>
      </c>
      <c r="L187" s="3">
        <v>25527.849609000001</v>
      </c>
      <c r="N187" s="3">
        <f t="shared" si="74"/>
        <v>3.3951600473269394E-2</v>
      </c>
      <c r="O187" s="3">
        <f t="shared" si="75"/>
        <v>3.7340990408096353E-2</v>
      </c>
      <c r="P187" s="3">
        <f t="shared" si="76"/>
        <v>3.4079313652862542E-2</v>
      </c>
      <c r="Q187" s="3">
        <f t="shared" si="77"/>
        <v>3.4258949821015072E-2</v>
      </c>
      <c r="R187" s="3">
        <f t="shared" si="78"/>
        <v>2.6025565277497886E-2</v>
      </c>
      <c r="S187" s="3">
        <f t="shared" si="79"/>
        <v>6.6209495159963438E-2</v>
      </c>
      <c r="T187" s="3">
        <f t="shared" si="80"/>
        <v>8.3493962177751069E-2</v>
      </c>
      <c r="U187" s="3">
        <f t="shared" si="81"/>
        <v>9.3708088311097448E-2</v>
      </c>
      <c r="V187" s="3">
        <f t="shared" si="82"/>
        <v>9.5970775307987033E-2</v>
      </c>
      <c r="W187" s="3">
        <f t="shared" si="83"/>
        <v>2.8666458045641718E-2</v>
      </c>
      <c r="X187" s="3">
        <f t="shared" si="84"/>
        <v>3.825097271457345E-2</v>
      </c>
      <c r="AZ187" s="3" t="s">
        <v>192</v>
      </c>
      <c r="BA187" s="3">
        <v>182</v>
      </c>
      <c r="BB187" s="3">
        <f t="shared" si="85"/>
        <v>0.93710669892329479</v>
      </c>
      <c r="BC187" s="3">
        <f t="shared" si="86"/>
        <v>0.93740747647308276</v>
      </c>
      <c r="BD187" s="3">
        <f t="shared" si="87"/>
        <v>0.98909904333407495</v>
      </c>
      <c r="BE187" s="3">
        <f t="shared" si="88"/>
        <v>1.0513140803861756</v>
      </c>
      <c r="BF187" s="3">
        <f t="shared" si="89"/>
        <v>0.97049734384637865</v>
      </c>
      <c r="BH187" s="3">
        <f t="shared" si="90"/>
        <v>-1.6766249190619573E-2</v>
      </c>
      <c r="BI187" s="3">
        <f t="shared" si="91"/>
        <v>-1.6437673643931311E-2</v>
      </c>
      <c r="BJ187" s="3">
        <f t="shared" si="92"/>
        <v>-1.9159143335777007E-2</v>
      </c>
      <c r="BK187" s="3">
        <f t="shared" si="93"/>
        <v>-2.1448646001396739E-2</v>
      </c>
    </row>
    <row r="188" spans="1:63" x14ac:dyDescent="0.2">
      <c r="A188" s="3" t="s">
        <v>195</v>
      </c>
      <c r="B188" s="3">
        <v>68.900000000000006</v>
      </c>
      <c r="C188" s="3">
        <v>81.849999999999994</v>
      </c>
      <c r="D188" s="3">
        <v>15.52</v>
      </c>
      <c r="E188" s="3">
        <v>57.9</v>
      </c>
      <c r="F188" s="3">
        <v>52.55</v>
      </c>
      <c r="G188" s="3">
        <v>171.7</v>
      </c>
      <c r="H188" s="3">
        <v>38.700000000000003</v>
      </c>
      <c r="I188" s="3">
        <v>118.5</v>
      </c>
      <c r="J188" s="3">
        <v>10.6</v>
      </c>
      <c r="K188" s="3">
        <v>77.849999999999994</v>
      </c>
      <c r="L188" s="3">
        <v>26523.230468999998</v>
      </c>
      <c r="N188" s="3">
        <f t="shared" si="74"/>
        <v>1.4503265776468766E-3</v>
      </c>
      <c r="O188" s="3">
        <f t="shared" si="75"/>
        <v>-1.6010194194159943E-2</v>
      </c>
      <c r="P188" s="3">
        <f t="shared" si="76"/>
        <v>-1.0362787035546717E-2</v>
      </c>
      <c r="Q188" s="3">
        <f t="shared" si="77"/>
        <v>-6.9324367756449234E-3</v>
      </c>
      <c r="R188" s="3">
        <f t="shared" si="78"/>
        <v>-4.7687262520828E-3</v>
      </c>
      <c r="S188" s="3">
        <f t="shared" si="79"/>
        <v>-2.1784788500171182E-2</v>
      </c>
      <c r="T188" s="3">
        <f t="shared" si="80"/>
        <v>-3.1498667059370877E-2</v>
      </c>
      <c r="U188" s="3">
        <f t="shared" si="81"/>
        <v>-2.9111644847349183E-2</v>
      </c>
      <c r="V188" s="3">
        <f t="shared" si="82"/>
        <v>-2.8710105882431503E-2</v>
      </c>
      <c r="W188" s="3">
        <f t="shared" si="83"/>
        <v>-2.2735633412366951E-2</v>
      </c>
      <c r="X188" s="3">
        <f t="shared" si="84"/>
        <v>-2.9039789346896328E-4</v>
      </c>
      <c r="AZ188" s="3" t="s">
        <v>193</v>
      </c>
      <c r="BA188" s="3">
        <v>183</v>
      </c>
      <c r="BB188" s="3">
        <f t="shared" si="85"/>
        <v>0.9215259151301628</v>
      </c>
      <c r="BC188" s="3">
        <f t="shared" si="86"/>
        <v>0.92212462964126651</v>
      </c>
      <c r="BD188" s="3">
        <f t="shared" si="87"/>
        <v>0.97032913482995731</v>
      </c>
      <c r="BE188" s="3">
        <f t="shared" si="88"/>
        <v>1.0290049227128431</v>
      </c>
      <c r="BF188" s="3">
        <f t="shared" si="89"/>
        <v>0.96679339341865755</v>
      </c>
      <c r="BH188" s="3">
        <f t="shared" si="90"/>
        <v>-1.8706360751731266E-3</v>
      </c>
      <c r="BI188" s="3">
        <f t="shared" si="91"/>
        <v>-1.6246631655298105E-3</v>
      </c>
      <c r="BJ188" s="3">
        <f t="shared" si="92"/>
        <v>-4.9542659275002982E-4</v>
      </c>
      <c r="BK188" s="3">
        <f t="shared" si="93"/>
        <v>7.4917151322038619E-4</v>
      </c>
    </row>
    <row r="189" spans="1:63" x14ac:dyDescent="0.2">
      <c r="A189" s="3" t="s">
        <v>196</v>
      </c>
      <c r="B189" s="3">
        <v>69</v>
      </c>
      <c r="C189" s="3">
        <v>80.55</v>
      </c>
      <c r="D189" s="3">
        <v>15.36</v>
      </c>
      <c r="E189" s="3">
        <v>57.5</v>
      </c>
      <c r="F189" s="3">
        <v>52.3</v>
      </c>
      <c r="G189" s="3">
        <v>168</v>
      </c>
      <c r="H189" s="3">
        <v>37.5</v>
      </c>
      <c r="I189" s="3">
        <v>115.1</v>
      </c>
      <c r="J189" s="3">
        <v>10.3</v>
      </c>
      <c r="K189" s="3">
        <v>76.099999999999994</v>
      </c>
      <c r="L189" s="3">
        <v>26515.529297000001</v>
      </c>
      <c r="N189" s="3">
        <f t="shared" si="74"/>
        <v>2.0796733747429741E-2</v>
      </c>
      <c r="O189" s="3">
        <f t="shared" si="75"/>
        <v>5.5710450494554919E-3</v>
      </c>
      <c r="P189" s="3">
        <f t="shared" si="76"/>
        <v>6.4893154397500652E-3</v>
      </c>
      <c r="Q189" s="3">
        <f t="shared" si="77"/>
        <v>6.9324367756449234E-3</v>
      </c>
      <c r="R189" s="3">
        <f t="shared" si="78"/>
        <v>0</v>
      </c>
      <c r="S189" s="3">
        <f t="shared" si="79"/>
        <v>3.5650661644961446E-3</v>
      </c>
      <c r="T189" s="3">
        <f t="shared" si="80"/>
        <v>7.9681696491769038E-3</v>
      </c>
      <c r="U189" s="3">
        <f t="shared" si="81"/>
        <v>0</v>
      </c>
      <c r="V189" s="3">
        <f t="shared" si="82"/>
        <v>-5.8422756242282325E-3</v>
      </c>
      <c r="W189" s="3">
        <f t="shared" si="83"/>
        <v>1.1107595417247929E-2</v>
      </c>
      <c r="X189" s="3">
        <f t="shared" si="84"/>
        <v>6.5868567660398725E-3</v>
      </c>
      <c r="AZ189" s="3" t="s">
        <v>194</v>
      </c>
      <c r="BA189" s="3">
        <v>184</v>
      </c>
      <c r="BB189" s="3">
        <f t="shared" si="85"/>
        <v>0.91980368684250879</v>
      </c>
      <c r="BC189" s="3">
        <f t="shared" si="86"/>
        <v>0.92062770405065986</v>
      </c>
      <c r="BD189" s="3">
        <f t="shared" si="87"/>
        <v>0.96984852703561375</v>
      </c>
      <c r="BE189" s="3">
        <f t="shared" si="88"/>
        <v>1.0297761127286289</v>
      </c>
      <c r="BF189" s="3">
        <f t="shared" si="89"/>
        <v>0.9630697693606346</v>
      </c>
      <c r="BH189" s="3">
        <f t="shared" si="90"/>
        <v>5.4191663331897719E-2</v>
      </c>
      <c r="BI189" s="3">
        <f t="shared" si="91"/>
        <v>4.8844447251791594E-2</v>
      </c>
      <c r="BJ189" s="3">
        <f t="shared" si="92"/>
        <v>3.6988117196002632E-2</v>
      </c>
      <c r="BK189" s="3">
        <f t="shared" si="93"/>
        <v>1.1168855915733567E-2</v>
      </c>
    </row>
    <row r="190" spans="1:63" x14ac:dyDescent="0.2">
      <c r="A190" s="3" t="s">
        <v>197</v>
      </c>
      <c r="B190" s="3">
        <v>70.45</v>
      </c>
      <c r="C190" s="3">
        <v>81</v>
      </c>
      <c r="D190" s="3">
        <v>15.46</v>
      </c>
      <c r="E190" s="3">
        <v>57.9</v>
      </c>
      <c r="F190" s="3">
        <v>52.3</v>
      </c>
      <c r="G190" s="3">
        <v>168.6</v>
      </c>
      <c r="H190" s="3">
        <v>37.799999999999997</v>
      </c>
      <c r="I190" s="3">
        <v>115.1</v>
      </c>
      <c r="J190" s="3">
        <v>10.24</v>
      </c>
      <c r="K190" s="3">
        <v>76.95</v>
      </c>
      <c r="L190" s="3">
        <v>26690.759765999999</v>
      </c>
      <c r="N190" s="3">
        <f t="shared" si="74"/>
        <v>1.0589580073240512E-2</v>
      </c>
      <c r="O190" s="3">
        <f t="shared" si="75"/>
        <v>1.8501392881615786E-3</v>
      </c>
      <c r="P190" s="3">
        <f t="shared" si="76"/>
        <v>7.7319972833262973E-3</v>
      </c>
      <c r="Q190" s="3">
        <f t="shared" si="77"/>
        <v>5.1679701584426141E-3</v>
      </c>
      <c r="R190" s="3">
        <f t="shared" si="78"/>
        <v>6.6698675091072523E-3</v>
      </c>
      <c r="S190" s="3">
        <f t="shared" si="79"/>
        <v>8.2693914825071602E-3</v>
      </c>
      <c r="T190" s="3">
        <f t="shared" si="80"/>
        <v>-6.6357244153985029E-3</v>
      </c>
      <c r="U190" s="3">
        <f t="shared" si="81"/>
        <v>-7.8500185059269256E-3</v>
      </c>
      <c r="V190" s="3">
        <f t="shared" si="82"/>
        <v>-1.1787955752042389E-2</v>
      </c>
      <c r="W190" s="3">
        <f t="shared" si="83"/>
        <v>-5.8651194523982042E-3</v>
      </c>
      <c r="X190" s="3">
        <f t="shared" si="84"/>
        <v>-3.5072124000201654E-4</v>
      </c>
      <c r="AZ190" s="3" t="s">
        <v>195</v>
      </c>
      <c r="BA190" s="3">
        <v>185</v>
      </c>
      <c r="BB190" s="3">
        <f t="shared" si="85"/>
        <v>0.97102472046694499</v>
      </c>
      <c r="BC190" s="3">
        <f t="shared" si="86"/>
        <v>0.96671156391237867</v>
      </c>
      <c r="BD190" s="3">
        <f t="shared" si="87"/>
        <v>1.0063930889321508</v>
      </c>
      <c r="BE190" s="3">
        <f t="shared" si="88"/>
        <v>1.0413420024044275</v>
      </c>
      <c r="BF190" s="3">
        <f t="shared" si="89"/>
        <v>1.000621746121271</v>
      </c>
      <c r="BH190" s="3">
        <f t="shared" si="90"/>
        <v>-1.7480480581649097E-2</v>
      </c>
      <c r="BI190" s="3">
        <f t="shared" si="91"/>
        <v>-1.5329323175088637E-2</v>
      </c>
      <c r="BJ190" s="3">
        <f t="shared" si="92"/>
        <v>-1.0264442024716052E-2</v>
      </c>
      <c r="BK190" s="3">
        <f t="shared" si="93"/>
        <v>8.2601972980105715E-4</v>
      </c>
    </row>
    <row r="191" spans="1:63" x14ac:dyDescent="0.2">
      <c r="A191" s="3" t="s">
        <v>198</v>
      </c>
      <c r="B191" s="3">
        <v>71.2</v>
      </c>
      <c r="C191" s="3">
        <v>81.150000000000006</v>
      </c>
      <c r="D191" s="3">
        <v>15.58</v>
      </c>
      <c r="E191" s="3">
        <v>58.2</v>
      </c>
      <c r="F191" s="3">
        <v>52.65</v>
      </c>
      <c r="G191" s="3">
        <v>170</v>
      </c>
      <c r="H191" s="3">
        <v>37.549999999999997</v>
      </c>
      <c r="I191" s="3">
        <v>114.2</v>
      </c>
      <c r="J191" s="3">
        <v>10.119999999999999</v>
      </c>
      <c r="K191" s="3">
        <v>76.5</v>
      </c>
      <c r="L191" s="3">
        <v>26681.400390999999</v>
      </c>
      <c r="N191" s="3">
        <f t="shared" si="74"/>
        <v>6.3003358562507827E-3</v>
      </c>
      <c r="O191" s="3">
        <f t="shared" si="75"/>
        <v>-1.1775779088131877E-2</v>
      </c>
      <c r="P191" s="3">
        <f t="shared" si="76"/>
        <v>-6.4391722810213103E-3</v>
      </c>
      <c r="Q191" s="3">
        <f t="shared" si="77"/>
        <v>1.1955735920148314E-2</v>
      </c>
      <c r="R191" s="3">
        <f t="shared" si="78"/>
        <v>9.4921696733196725E-4</v>
      </c>
      <c r="S191" s="3">
        <f t="shared" si="79"/>
        <v>7.0340266573793997E-3</v>
      </c>
      <c r="T191" s="3">
        <f t="shared" si="80"/>
        <v>-9.3646169310424021E-3</v>
      </c>
      <c r="U191" s="3">
        <f t="shared" si="81"/>
        <v>-8.7604035388011425E-4</v>
      </c>
      <c r="V191" s="3">
        <f t="shared" si="82"/>
        <v>5.9113472630571984E-3</v>
      </c>
      <c r="W191" s="3">
        <f t="shared" si="83"/>
        <v>0</v>
      </c>
      <c r="X191" s="3">
        <f t="shared" si="84"/>
        <v>8.5422789510403163E-5</v>
      </c>
      <c r="AZ191" s="3" t="s">
        <v>196</v>
      </c>
      <c r="BA191" s="3">
        <v>186</v>
      </c>
      <c r="BB191" s="3">
        <f t="shared" si="85"/>
        <v>0.95419823766570966</v>
      </c>
      <c r="BC191" s="3">
        <f t="shared" si="86"/>
        <v>0.95200553464710713</v>
      </c>
      <c r="BD191" s="3">
        <f t="shared" si="87"/>
        <v>0.99611586065648949</v>
      </c>
      <c r="BE191" s="3">
        <f t="shared" si="88"/>
        <v>1.0422025268000199</v>
      </c>
      <c r="BF191" s="3">
        <f t="shared" si="89"/>
        <v>1.000331209861639</v>
      </c>
      <c r="BH191" s="3">
        <f t="shared" si="90"/>
        <v>5.3877107818957395E-3</v>
      </c>
      <c r="BI191" s="3">
        <f t="shared" si="91"/>
        <v>5.623530824380607E-3</v>
      </c>
      <c r="BJ191" s="3">
        <f t="shared" si="92"/>
        <v>3.8494396679171518E-3</v>
      </c>
      <c r="BK191" s="3">
        <f t="shared" si="93"/>
        <v>2.358509521127039E-3</v>
      </c>
    </row>
    <row r="192" spans="1:63" x14ac:dyDescent="0.2">
      <c r="A192" s="3" t="s">
        <v>199</v>
      </c>
      <c r="B192" s="3">
        <v>71.650000000000006</v>
      </c>
      <c r="C192" s="3">
        <v>80.2</v>
      </c>
      <c r="D192" s="3">
        <v>15.48</v>
      </c>
      <c r="E192" s="3">
        <v>58.9</v>
      </c>
      <c r="F192" s="3">
        <v>52.7</v>
      </c>
      <c r="G192" s="3">
        <v>171.2</v>
      </c>
      <c r="H192" s="3">
        <v>37.200000000000003</v>
      </c>
      <c r="I192" s="3">
        <v>114.1</v>
      </c>
      <c r="J192" s="3">
        <v>10.18</v>
      </c>
      <c r="K192" s="3">
        <v>76.5</v>
      </c>
      <c r="L192" s="3">
        <v>26683.679688</v>
      </c>
      <c r="N192" s="3">
        <f t="shared" si="74"/>
        <v>2.0718973191952372E-2</v>
      </c>
      <c r="O192" s="3">
        <f t="shared" si="75"/>
        <v>6.8344472302968029E-3</v>
      </c>
      <c r="P192" s="3">
        <f t="shared" si="76"/>
        <v>5.154650588664822E-3</v>
      </c>
      <c r="Q192" s="3">
        <f t="shared" si="77"/>
        <v>3.0925991563116817E-2</v>
      </c>
      <c r="R192" s="3">
        <f t="shared" si="78"/>
        <v>4.7326165000991516E-3</v>
      </c>
      <c r="S192" s="3">
        <f t="shared" si="79"/>
        <v>4.455334213311346E-2</v>
      </c>
      <c r="T192" s="3">
        <f t="shared" si="80"/>
        <v>4.2111485350126543E-2</v>
      </c>
      <c r="U192" s="3">
        <f t="shared" si="81"/>
        <v>3.1913014349456148E-2</v>
      </c>
      <c r="V192" s="3">
        <f t="shared" si="82"/>
        <v>2.7133447514400277E-2</v>
      </c>
      <c r="W192" s="3">
        <f t="shared" si="83"/>
        <v>1.9418085857101808E-2</v>
      </c>
      <c r="X192" s="3">
        <f t="shared" si="84"/>
        <v>1.7658581634242054E-2</v>
      </c>
      <c r="AZ192" s="3" t="s">
        <v>197</v>
      </c>
      <c r="BA192" s="3">
        <v>187</v>
      </c>
      <c r="BB192" s="3">
        <f t="shared" si="85"/>
        <v>0.95935305566384799</v>
      </c>
      <c r="BC192" s="3">
        <f t="shared" si="86"/>
        <v>0.95737424853179753</v>
      </c>
      <c r="BD192" s="3">
        <f t="shared" si="87"/>
        <v>0.99995773835841761</v>
      </c>
      <c r="BE192" s="3">
        <f t="shared" si="88"/>
        <v>1.0446634723233799</v>
      </c>
      <c r="BF192" s="3">
        <f t="shared" si="89"/>
        <v>1.0069419965103228</v>
      </c>
      <c r="BH192" s="3">
        <f t="shared" si="90"/>
        <v>6.8682593966816474E-4</v>
      </c>
      <c r="BI192" s="3">
        <f t="shared" si="91"/>
        <v>2.1067882061358706E-3</v>
      </c>
      <c r="BJ192" s="3">
        <f t="shared" si="92"/>
        <v>5.1804901512583889E-3</v>
      </c>
      <c r="BK192" s="3">
        <f t="shared" si="93"/>
        <v>1.1504157499350812E-2</v>
      </c>
    </row>
    <row r="193" spans="1:63" x14ac:dyDescent="0.2">
      <c r="A193" s="3" t="s">
        <v>200</v>
      </c>
      <c r="B193" s="3">
        <v>73.150000000000006</v>
      </c>
      <c r="C193" s="3">
        <v>80.75</v>
      </c>
      <c r="D193" s="3">
        <v>15.56</v>
      </c>
      <c r="E193" s="3">
        <v>60.75</v>
      </c>
      <c r="F193" s="3">
        <v>52.95</v>
      </c>
      <c r="G193" s="3">
        <v>179</v>
      </c>
      <c r="H193" s="3">
        <v>38.799999999999997</v>
      </c>
      <c r="I193" s="3">
        <v>117.8</v>
      </c>
      <c r="J193" s="3">
        <v>10.46</v>
      </c>
      <c r="K193" s="3">
        <v>78</v>
      </c>
      <c r="L193" s="3">
        <v>27159.060547000001</v>
      </c>
      <c r="N193" s="3">
        <f t="shared" si="74"/>
        <v>-7.5472056353831363E-3</v>
      </c>
      <c r="O193" s="3">
        <f t="shared" si="75"/>
        <v>1.8558619616806382E-3</v>
      </c>
      <c r="P193" s="3">
        <f t="shared" si="76"/>
        <v>3.8486256612939584E-3</v>
      </c>
      <c r="Q193" s="3">
        <f t="shared" si="77"/>
        <v>-8.2645098498934644E-3</v>
      </c>
      <c r="R193" s="3">
        <f t="shared" si="78"/>
        <v>3.7700327405412182E-3</v>
      </c>
      <c r="S193" s="3">
        <f t="shared" si="79"/>
        <v>-8.9787359652762078E-3</v>
      </c>
      <c r="T193" s="3">
        <f t="shared" si="80"/>
        <v>-1.5584731016698328E-2</v>
      </c>
      <c r="U193" s="3">
        <f t="shared" si="81"/>
        <v>-7.6694027394630382E-3</v>
      </c>
      <c r="V193" s="3">
        <f t="shared" si="82"/>
        <v>-1.9138761822841133E-3</v>
      </c>
      <c r="W193" s="3">
        <f t="shared" si="83"/>
        <v>5.7526524894502273E-3</v>
      </c>
      <c r="X193" s="3">
        <f t="shared" si="84"/>
        <v>-2.6335146874920667E-3</v>
      </c>
      <c r="AZ193" s="3" t="s">
        <v>198</v>
      </c>
      <c r="BA193" s="3">
        <v>188</v>
      </c>
      <c r="BB193" s="3">
        <f t="shared" si="85"/>
        <v>0.960012190557338</v>
      </c>
      <c r="BC193" s="3">
        <f t="shared" si="86"/>
        <v>0.95939335948020088</v>
      </c>
      <c r="BD193" s="3">
        <f t="shared" si="87"/>
        <v>1.0051514509466066</v>
      </c>
      <c r="BE193" s="3">
        <f t="shared" si="88"/>
        <v>1.0567508396224849</v>
      </c>
      <c r="BF193" s="3">
        <f t="shared" si="89"/>
        <v>1.0065889024871024</v>
      </c>
      <c r="BH193" s="3">
        <f t="shared" si="90"/>
        <v>8.2941327336306936E-5</v>
      </c>
      <c r="BI193" s="3">
        <f t="shared" si="91"/>
        <v>6.1865542439754062E-5</v>
      </c>
      <c r="BJ193" s="3">
        <f t="shared" si="92"/>
        <v>-4.595391897470249E-3</v>
      </c>
      <c r="BK193" s="3">
        <f t="shared" si="93"/>
        <v>-9.5961255650910057E-3</v>
      </c>
    </row>
    <row r="194" spans="1:63" x14ac:dyDescent="0.2">
      <c r="A194" s="3" t="s">
        <v>201</v>
      </c>
      <c r="B194" s="3">
        <v>72.599999999999994</v>
      </c>
      <c r="C194" s="3">
        <v>80.900000000000006</v>
      </c>
      <c r="D194" s="3">
        <v>15.62</v>
      </c>
      <c r="E194" s="3">
        <v>60.25</v>
      </c>
      <c r="F194" s="3">
        <v>53.15</v>
      </c>
      <c r="G194" s="3">
        <v>177.4</v>
      </c>
      <c r="H194" s="3">
        <v>38.200000000000003</v>
      </c>
      <c r="I194" s="3">
        <v>116.9</v>
      </c>
      <c r="J194" s="3">
        <v>10.44</v>
      </c>
      <c r="K194" s="3">
        <v>78.45</v>
      </c>
      <c r="L194" s="3">
        <v>27087.630859000001</v>
      </c>
      <c r="N194" s="3">
        <f t="shared" si="74"/>
        <v>2.0639842208520776E-3</v>
      </c>
      <c r="O194" s="3">
        <f t="shared" si="75"/>
        <v>1.045198571291639E-2</v>
      </c>
      <c r="P194" s="3">
        <f t="shared" si="76"/>
        <v>2.1533447610122991E-2</v>
      </c>
      <c r="Q194" s="3">
        <f t="shared" si="77"/>
        <v>7.4411256946884663E-3</v>
      </c>
      <c r="R194" s="3">
        <f t="shared" si="78"/>
        <v>4.6926411781922361E-3</v>
      </c>
      <c r="S194" s="3">
        <f t="shared" si="79"/>
        <v>8.9787359652762078E-3</v>
      </c>
      <c r="T194" s="3">
        <f t="shared" si="80"/>
        <v>1.0416760858255714E-2</v>
      </c>
      <c r="U194" s="3">
        <f t="shared" si="81"/>
        <v>2.5630086648895656E-3</v>
      </c>
      <c r="V194" s="3">
        <f t="shared" si="82"/>
        <v>0</v>
      </c>
      <c r="W194" s="3">
        <f t="shared" si="83"/>
        <v>6.3714560932126574E-4</v>
      </c>
      <c r="X194" s="3">
        <f t="shared" si="84"/>
        <v>9.7376608707406831E-3</v>
      </c>
      <c r="AZ194" s="3" t="s">
        <v>199</v>
      </c>
      <c r="BA194" s="3">
        <v>189</v>
      </c>
      <c r="BB194" s="3">
        <f t="shared" si="85"/>
        <v>0.9600918185448617</v>
      </c>
      <c r="BC194" s="3">
        <f t="shared" si="86"/>
        <v>0.95945271470680094</v>
      </c>
      <c r="BD194" s="3">
        <f t="shared" si="87"/>
        <v>1.0005429830811297</v>
      </c>
      <c r="BE194" s="3">
        <f t="shared" si="88"/>
        <v>1.0466586263926725</v>
      </c>
      <c r="BF194" s="3">
        <f t="shared" si="89"/>
        <v>1.0066748917917134</v>
      </c>
      <c r="BH194" s="3">
        <f t="shared" si="90"/>
        <v>2.3345308813213443E-2</v>
      </c>
      <c r="BI194" s="3">
        <f t="shared" si="91"/>
        <v>2.1167240085977715E-2</v>
      </c>
      <c r="BJ194" s="3">
        <f t="shared" si="92"/>
        <v>7.1923004672458735E-3</v>
      </c>
      <c r="BK194" s="3">
        <f t="shared" si="93"/>
        <v>-1.5009310832538168E-2</v>
      </c>
    </row>
    <row r="195" spans="1:63" x14ac:dyDescent="0.2">
      <c r="A195" s="3" t="s">
        <v>202</v>
      </c>
      <c r="B195" s="3">
        <v>72.75</v>
      </c>
      <c r="C195" s="3">
        <v>81.75</v>
      </c>
      <c r="D195" s="3">
        <v>15.96</v>
      </c>
      <c r="E195" s="3">
        <v>60.7</v>
      </c>
      <c r="F195" s="3">
        <v>53.4</v>
      </c>
      <c r="G195" s="3">
        <v>179</v>
      </c>
      <c r="H195" s="3">
        <v>38.6</v>
      </c>
      <c r="I195" s="3">
        <v>117.2</v>
      </c>
      <c r="J195" s="3">
        <v>10.44</v>
      </c>
      <c r="K195" s="3">
        <v>78.5</v>
      </c>
      <c r="L195" s="3">
        <v>27352.689452999999</v>
      </c>
      <c r="N195" s="3">
        <f t="shared" si="74"/>
        <v>-1.7331456351640462E-2</v>
      </c>
      <c r="O195" s="3">
        <f t="shared" si="75"/>
        <v>-7.9828486559954115E-3</v>
      </c>
      <c r="P195" s="3">
        <f t="shared" si="76"/>
        <v>-1.6424879667400472E-2</v>
      </c>
      <c r="Q195" s="3">
        <f t="shared" si="77"/>
        <v>-1.6488049901832724E-3</v>
      </c>
      <c r="R195" s="3">
        <f t="shared" si="78"/>
        <v>9.3589150490513973E-4</v>
      </c>
      <c r="S195" s="3">
        <f t="shared" si="79"/>
        <v>-8.9787359652762078E-3</v>
      </c>
      <c r="T195" s="3">
        <f t="shared" si="80"/>
        <v>-6.4977486575199528E-3</v>
      </c>
      <c r="U195" s="3">
        <f t="shared" si="81"/>
        <v>-1.4611347181064716E-2</v>
      </c>
      <c r="V195" s="3">
        <f t="shared" si="82"/>
        <v>-2.3256862164267478E-2</v>
      </c>
      <c r="W195" s="3">
        <f t="shared" si="83"/>
        <v>-1.3466057925485941E-2</v>
      </c>
      <c r="X195" s="3">
        <f t="shared" si="84"/>
        <v>-8.375608040882554E-3</v>
      </c>
      <c r="AZ195" s="3" t="s">
        <v>200</v>
      </c>
      <c r="BA195" s="3">
        <v>190</v>
      </c>
      <c r="BB195" s="3">
        <f t="shared" si="85"/>
        <v>0.982769133067942</v>
      </c>
      <c r="BC195" s="3">
        <f t="shared" si="86"/>
        <v>0.97997814768789016</v>
      </c>
      <c r="BD195" s="3">
        <f t="shared" si="87"/>
        <v>1.0077651296369141</v>
      </c>
      <c r="BE195" s="3">
        <f t="shared" si="88"/>
        <v>1.0310663094175276</v>
      </c>
      <c r="BF195" s="3">
        <f t="shared" si="89"/>
        <v>1.0246092239523896</v>
      </c>
      <c r="BH195" s="3">
        <f t="shared" si="90"/>
        <v>-3.5217961522981157E-3</v>
      </c>
      <c r="BI195" s="3">
        <f t="shared" si="91"/>
        <v>-2.8443310387187733E-3</v>
      </c>
      <c r="BJ195" s="3">
        <f t="shared" si="92"/>
        <v>2.0616029744393678E-3</v>
      </c>
      <c r="BK195" s="3">
        <f t="shared" si="93"/>
        <v>9.9239627986066475E-3</v>
      </c>
    </row>
    <row r="196" spans="1:63" x14ac:dyDescent="0.2">
      <c r="A196" s="3" t="s">
        <v>203</v>
      </c>
      <c r="B196" s="3">
        <v>71.5</v>
      </c>
      <c r="C196" s="3">
        <v>81.099999999999994</v>
      </c>
      <c r="D196" s="3">
        <v>15.7</v>
      </c>
      <c r="E196" s="3">
        <v>60.6</v>
      </c>
      <c r="F196" s="3">
        <v>53.45</v>
      </c>
      <c r="G196" s="3">
        <v>177.4</v>
      </c>
      <c r="H196" s="3">
        <v>38.35</v>
      </c>
      <c r="I196" s="3">
        <v>115.5</v>
      </c>
      <c r="J196" s="3">
        <v>10.199999999999999</v>
      </c>
      <c r="K196" s="3">
        <v>77.45</v>
      </c>
      <c r="L196" s="3">
        <v>27124.550781000002</v>
      </c>
      <c r="N196" s="3">
        <f t="shared" ref="N196:N247" si="94">LN(B197)-LN(B196)</f>
        <v>-7.0175726586461096E-3</v>
      </c>
      <c r="O196" s="3">
        <f t="shared" ref="O196:O247" si="95">LN(C197)-LN(C196)</f>
        <v>-3.0873750982518544E-3</v>
      </c>
      <c r="P196" s="3">
        <f t="shared" ref="P196:P247" si="96">LN(D197)-LN(D196)</f>
        <v>-6.389798098771049E-3</v>
      </c>
      <c r="Q196" s="3">
        <f t="shared" ref="Q196:Q247" si="97">LN(E197)-LN(E196)</f>
        <v>-1.4125702263648954E-2</v>
      </c>
      <c r="R196" s="3">
        <f t="shared" ref="R196:R247" si="98">LN(F197)-LN(F196)</f>
        <v>-1.0343298606800833E-2</v>
      </c>
      <c r="S196" s="3">
        <f t="shared" ref="S196:S247" si="99">LN(G197)-LN(G196)</f>
        <v>-9.0600846244024424E-3</v>
      </c>
      <c r="T196" s="3">
        <f t="shared" ref="T196:T247" si="100">LN(H197)-LN(H196)</f>
        <v>-7.8534435055703788E-3</v>
      </c>
      <c r="U196" s="3">
        <f t="shared" ref="U196:U247" si="101">LN(I197)-LN(I196)</f>
        <v>-9.5694510161505875E-3</v>
      </c>
      <c r="V196" s="3">
        <f t="shared" ref="V196:V247" si="102">LN(J197)-LN(J196)</f>
        <v>-1.9627091678486863E-3</v>
      </c>
      <c r="W196" s="3">
        <f t="shared" ref="W196:W247" si="103">LN(K197)-LN(K196)</f>
        <v>-7.7770968782724381E-3</v>
      </c>
      <c r="X196" s="3">
        <f t="shared" ref="X196:X247" si="104">LN(L197)-LN(L196)</f>
        <v>-1.2401599836820765E-2</v>
      </c>
      <c r="AZ196" s="3" t="s">
        <v>201</v>
      </c>
      <c r="BA196" s="3">
        <v>191</v>
      </c>
      <c r="BB196" s="3">
        <f t="shared" si="85"/>
        <v>0.9793141080345098</v>
      </c>
      <c r="BC196" s="3">
        <f t="shared" si="86"/>
        <v>0.97719472578834754</v>
      </c>
      <c r="BD196" s="3">
        <f t="shared" si="87"/>
        <v>1.0098448843032974</v>
      </c>
      <c r="BE196" s="3">
        <f t="shared" si="88"/>
        <v>1.0413495137888908</v>
      </c>
      <c r="BF196" s="3">
        <f t="shared" si="89"/>
        <v>1.0219144504324371</v>
      </c>
      <c r="BH196" s="3">
        <f t="shared" si="90"/>
        <v>7.1130337963795174E-3</v>
      </c>
      <c r="BI196" s="3">
        <f t="shared" si="91"/>
        <v>7.7135492188547504E-3</v>
      </c>
      <c r="BJ196" s="3">
        <f t="shared" si="92"/>
        <v>1.0232957705639647E-2</v>
      </c>
      <c r="BK196" s="3">
        <f t="shared" si="93"/>
        <v>1.3430711273094108E-2</v>
      </c>
    </row>
    <row r="197" spans="1:63" x14ac:dyDescent="0.2">
      <c r="A197" s="3" t="s">
        <v>204</v>
      </c>
      <c r="B197" s="3">
        <v>71</v>
      </c>
      <c r="C197" s="3">
        <v>80.849999999999994</v>
      </c>
      <c r="D197" s="3">
        <v>15.6</v>
      </c>
      <c r="E197" s="3">
        <v>59.75</v>
      </c>
      <c r="F197" s="3">
        <v>52.9</v>
      </c>
      <c r="G197" s="3">
        <v>175.8</v>
      </c>
      <c r="H197" s="3">
        <v>38.049999999999997</v>
      </c>
      <c r="I197" s="3">
        <v>114.4</v>
      </c>
      <c r="J197" s="3">
        <v>10.18</v>
      </c>
      <c r="K197" s="3">
        <v>76.849999999999994</v>
      </c>
      <c r="L197" s="3">
        <v>26790.240234000001</v>
      </c>
      <c r="N197" s="3">
        <f t="shared" si="94"/>
        <v>-5.6497325421194233E-3</v>
      </c>
      <c r="O197" s="3">
        <f t="shared" si="95"/>
        <v>-1.8570107472122288E-3</v>
      </c>
      <c r="P197" s="3">
        <f t="shared" si="96"/>
        <v>3.83877630716567E-3</v>
      </c>
      <c r="Q197" s="3">
        <f t="shared" si="97"/>
        <v>1.6722411923622005E-3</v>
      </c>
      <c r="R197" s="3">
        <f t="shared" si="98"/>
        <v>0</v>
      </c>
      <c r="S197" s="3">
        <f t="shared" si="99"/>
        <v>2.8401041527486015E-3</v>
      </c>
      <c r="T197" s="3">
        <f t="shared" si="100"/>
        <v>-1.3149245813091071E-3</v>
      </c>
      <c r="U197" s="3">
        <f t="shared" si="101"/>
        <v>-8.7450814493195139E-4</v>
      </c>
      <c r="V197" s="3">
        <f t="shared" si="102"/>
        <v>-7.8895872751627572E-3</v>
      </c>
      <c r="W197" s="3">
        <f t="shared" si="103"/>
        <v>-1.6399186799117338E-2</v>
      </c>
      <c r="X197" s="3">
        <f t="shared" si="104"/>
        <v>-1.3492027508039683E-3</v>
      </c>
      <c r="AZ197" s="3" t="s">
        <v>202</v>
      </c>
      <c r="BA197" s="3">
        <v>192</v>
      </c>
      <c r="BB197" s="3">
        <f t="shared" ref="BB197:BB250" si="105">SUMPRODUCT(AM$5:AV$5,B195:K195)</f>
        <v>0.98630483554798731</v>
      </c>
      <c r="BC197" s="3">
        <f t="shared" ref="BC197:BC250" si="106">SUMPRODUCT(AM$13:AV$13,B195:K195)</f>
        <v>0.98476151127036626</v>
      </c>
      <c r="BD197" s="3">
        <f t="shared" si="87"/>
        <v>1.0202316372595999</v>
      </c>
      <c r="BE197" s="3">
        <f t="shared" si="88"/>
        <v>1.0554299217337617</v>
      </c>
      <c r="BF197" s="3">
        <f t="shared" si="89"/>
        <v>1.0319141144425477</v>
      </c>
      <c r="BH197" s="3">
        <f t="shared" si="90"/>
        <v>-1.0948116173470792E-2</v>
      </c>
      <c r="BI197" s="3">
        <f t="shared" si="91"/>
        <v>-9.7927147719835302E-3</v>
      </c>
      <c r="BJ197" s="3">
        <f t="shared" si="92"/>
        <v>-8.0255277826467523E-3</v>
      </c>
      <c r="BK197" s="3">
        <f t="shared" si="93"/>
        <v>-3.6144548577550575E-3</v>
      </c>
    </row>
    <row r="198" spans="1:63" x14ac:dyDescent="0.2">
      <c r="A198" s="3" t="s">
        <v>205</v>
      </c>
      <c r="B198" s="3">
        <v>70.599999999999994</v>
      </c>
      <c r="C198" s="3">
        <v>80.7</v>
      </c>
      <c r="D198" s="3">
        <v>15.66</v>
      </c>
      <c r="E198" s="3">
        <v>59.85</v>
      </c>
      <c r="F198" s="3">
        <v>52.9</v>
      </c>
      <c r="G198" s="3">
        <v>176.3</v>
      </c>
      <c r="H198" s="3">
        <v>38</v>
      </c>
      <c r="I198" s="3">
        <v>114.3</v>
      </c>
      <c r="J198" s="3">
        <v>10.1</v>
      </c>
      <c r="K198" s="3">
        <v>75.599999999999994</v>
      </c>
      <c r="L198" s="3">
        <v>26754.119140999999</v>
      </c>
      <c r="N198" s="3">
        <f t="shared" si="94"/>
        <v>-1.6423075298843237E-2</v>
      </c>
      <c r="O198" s="3">
        <f t="shared" si="95"/>
        <v>-1.058870061488193E-2</v>
      </c>
      <c r="P198" s="3">
        <f t="shared" si="96"/>
        <v>-7.692345623155461E-3</v>
      </c>
      <c r="Q198" s="3">
        <f t="shared" si="97"/>
        <v>-2.5094116054260596E-3</v>
      </c>
      <c r="R198" s="3">
        <f t="shared" si="98"/>
        <v>-1.8921481520375316E-3</v>
      </c>
      <c r="S198" s="3">
        <f t="shared" si="99"/>
        <v>-2.4692612590372143E-2</v>
      </c>
      <c r="T198" s="3">
        <f t="shared" si="100"/>
        <v>0</v>
      </c>
      <c r="U198" s="3">
        <f t="shared" si="101"/>
        <v>-5.2631700442749008E-3</v>
      </c>
      <c r="V198" s="3">
        <f t="shared" si="102"/>
        <v>-1.9821612039914172E-3</v>
      </c>
      <c r="W198" s="3">
        <f t="shared" si="103"/>
        <v>-1.4657157799973675E-2</v>
      </c>
      <c r="X198" s="3">
        <f t="shared" si="104"/>
        <v>-1.0716129668946195E-2</v>
      </c>
      <c r="AZ198" s="3" t="s">
        <v>203</v>
      </c>
      <c r="BA198" s="3">
        <v>193</v>
      </c>
      <c r="BB198" s="3">
        <f t="shared" si="105"/>
        <v>0.97556555036531445</v>
      </c>
      <c r="BC198" s="3">
        <f t="shared" si="106"/>
        <v>0.97516508688460168</v>
      </c>
      <c r="BD198" s="3">
        <f t="shared" ref="BD198:BD250" si="107">SUMPRODUCT(AM$30:AV$30,B196:K196)/SUMPRODUCT(AM$30:AV$30,B$3:K$3)</f>
        <v>1.0120765082890932</v>
      </c>
      <c r="BE198" s="3">
        <f t="shared" ref="BE198:BE250" si="108">SUMPRODUCT(AM$41:AV$41,B196:K196)/SUMPRODUCT(AM$41:AV$41,B$3:K$3)</f>
        <v>1.0516220038454283</v>
      </c>
      <c r="BF198" s="3">
        <f t="shared" ref="BF198:BF250" si="109">L196/L$3</f>
        <v>1.023307300253709</v>
      </c>
      <c r="BH198" s="3">
        <f t="shared" ref="BH198:BH249" si="110">LN(BB199)-LN(BB198)</f>
        <v>-7.7006549297982396E-3</v>
      </c>
      <c r="BI198" s="3">
        <f t="shared" ref="BI198:BI249" si="111">LN(BC199)-LN(BC198)</f>
        <v>-8.0051561348601051E-3</v>
      </c>
      <c r="BJ198" s="3">
        <f t="shared" ref="BJ198:BJ249" si="112">LN(BD199)-LN(BD198)</f>
        <v>-6.7177167551777522E-3</v>
      </c>
      <c r="BK198" s="3">
        <f t="shared" ref="BK198:BK249" si="113">LN(BE199)-LN(BE198)</f>
        <v>-5.792987746017976E-3</v>
      </c>
    </row>
    <row r="199" spans="1:63" x14ac:dyDescent="0.2">
      <c r="A199" s="3" t="s">
        <v>206</v>
      </c>
      <c r="B199" s="3">
        <v>69.45</v>
      </c>
      <c r="C199" s="3">
        <v>79.849999999999994</v>
      </c>
      <c r="D199" s="3">
        <v>15.54</v>
      </c>
      <c r="E199" s="3">
        <v>59.7</v>
      </c>
      <c r="F199" s="3">
        <v>52.8</v>
      </c>
      <c r="G199" s="3">
        <v>172</v>
      </c>
      <c r="H199" s="3">
        <v>38</v>
      </c>
      <c r="I199" s="3">
        <v>113.7</v>
      </c>
      <c r="J199" s="3">
        <v>10.08</v>
      </c>
      <c r="K199" s="3">
        <v>74.5</v>
      </c>
      <c r="L199" s="3">
        <v>26468.949218999998</v>
      </c>
      <c r="N199" s="3">
        <f t="shared" si="94"/>
        <v>5.0269405679737034E-3</v>
      </c>
      <c r="O199" s="3">
        <f t="shared" si="95"/>
        <v>2.5349116198002619E-2</v>
      </c>
      <c r="P199" s="3">
        <f t="shared" si="96"/>
        <v>5.1347994720383205E-3</v>
      </c>
      <c r="Q199" s="3">
        <f t="shared" si="97"/>
        <v>5.0125418235440478E-3</v>
      </c>
      <c r="R199" s="3">
        <f t="shared" si="98"/>
        <v>2.8368813351997701E-3</v>
      </c>
      <c r="S199" s="3">
        <f t="shared" si="99"/>
        <v>-5.8156442464873948E-4</v>
      </c>
      <c r="T199" s="3">
        <f t="shared" si="100"/>
        <v>3.9395980040803913E-3</v>
      </c>
      <c r="U199" s="3">
        <f t="shared" si="101"/>
        <v>7.0114222378041546E-3</v>
      </c>
      <c r="V199" s="3">
        <f t="shared" si="102"/>
        <v>0</v>
      </c>
      <c r="W199" s="3">
        <f t="shared" si="103"/>
        <v>-4.7090568015724088E-3</v>
      </c>
      <c r="X199" s="3">
        <f t="shared" si="104"/>
        <v>-1.2580867958149611E-3</v>
      </c>
      <c r="AZ199" s="3" t="s">
        <v>204</v>
      </c>
      <c r="BA199" s="3">
        <v>194</v>
      </c>
      <c r="BB199" s="3">
        <f t="shared" si="105"/>
        <v>0.96808190815537343</v>
      </c>
      <c r="BC199" s="3">
        <f t="shared" si="106"/>
        <v>0.96738990041873174</v>
      </c>
      <c r="BD199" s="3">
        <f t="shared" si="107"/>
        <v>1.0053004502733882</v>
      </c>
      <c r="BE199" s="3">
        <f t="shared" si="108"/>
        <v>1.0455475819769022</v>
      </c>
      <c r="BF199" s="3">
        <f t="shared" si="109"/>
        <v>1.0106950204759166</v>
      </c>
      <c r="BH199" s="3">
        <f t="shared" si="110"/>
        <v>-2.3272627277707084E-3</v>
      </c>
      <c r="BI199" s="3">
        <f t="shared" si="111"/>
        <v>-1.7081753421346602E-3</v>
      </c>
      <c r="BJ199" s="3">
        <f t="shared" si="112"/>
        <v>2.2666352761383391E-4</v>
      </c>
      <c r="BK199" s="3">
        <f t="shared" si="113"/>
        <v>3.0114822409878506E-3</v>
      </c>
    </row>
    <row r="200" spans="1:63" x14ac:dyDescent="0.2">
      <c r="A200" s="3" t="s">
        <v>207</v>
      </c>
      <c r="B200" s="3">
        <v>69.8</v>
      </c>
      <c r="C200" s="3">
        <v>81.900000000000006</v>
      </c>
      <c r="D200" s="3">
        <v>15.62</v>
      </c>
      <c r="E200" s="3">
        <v>60</v>
      </c>
      <c r="F200" s="3">
        <v>52.95</v>
      </c>
      <c r="G200" s="3">
        <v>171.9</v>
      </c>
      <c r="H200" s="3">
        <v>38.15</v>
      </c>
      <c r="I200" s="3">
        <v>114.5</v>
      </c>
      <c r="J200" s="3">
        <v>10.08</v>
      </c>
      <c r="K200" s="3">
        <v>74.150000000000006</v>
      </c>
      <c r="L200" s="3">
        <v>26435.669922000001</v>
      </c>
      <c r="N200" s="3">
        <f t="shared" si="94"/>
        <v>-6.4678630074856969E-3</v>
      </c>
      <c r="O200" s="3">
        <f t="shared" si="95"/>
        <v>-5.50965581096996E-3</v>
      </c>
      <c r="P200" s="3">
        <f t="shared" si="96"/>
        <v>-1.0296101252263767E-2</v>
      </c>
      <c r="Q200" s="3">
        <f t="shared" si="97"/>
        <v>-8.3682496705161924E-3</v>
      </c>
      <c r="R200" s="3">
        <f t="shared" si="98"/>
        <v>-6.6319523037514649E-3</v>
      </c>
      <c r="S200" s="3">
        <f t="shared" si="99"/>
        <v>-6.4196310343342944E-3</v>
      </c>
      <c r="T200" s="3">
        <f t="shared" si="100"/>
        <v>-1.718482475410088E-2</v>
      </c>
      <c r="U200" s="3">
        <f t="shared" si="101"/>
        <v>-7.8913167072434121E-3</v>
      </c>
      <c r="V200" s="3">
        <f t="shared" si="102"/>
        <v>-5.9701669865037665E-3</v>
      </c>
      <c r="W200" s="3">
        <f t="shared" si="103"/>
        <v>-1.7001429569329041E-2</v>
      </c>
      <c r="X200" s="3">
        <f t="shared" si="104"/>
        <v>-8.1002093636364236E-3</v>
      </c>
      <c r="AZ200" s="3" t="s">
        <v>205</v>
      </c>
      <c r="BA200" s="3">
        <v>195</v>
      </c>
      <c r="BB200" s="3">
        <f t="shared" si="105"/>
        <v>0.96583154681981587</v>
      </c>
      <c r="BC200" s="3">
        <f t="shared" si="106"/>
        <v>0.96573883939693339</v>
      </c>
      <c r="BD200" s="3">
        <f t="shared" si="107"/>
        <v>1.0055283410460465</v>
      </c>
      <c r="BE200" s="3">
        <f t="shared" si="108"/>
        <v>1.0487009757636436</v>
      </c>
      <c r="BF200" s="3">
        <f t="shared" si="109"/>
        <v>1.0093323074688523</v>
      </c>
      <c r="BH200" s="3">
        <f t="shared" si="110"/>
        <v>-8.3401238966347019E-3</v>
      </c>
      <c r="BI200" s="3">
        <f t="shared" si="111"/>
        <v>-8.2113834742169323E-3</v>
      </c>
      <c r="BJ200" s="3">
        <f t="shared" si="112"/>
        <v>-6.4483321611454834E-3</v>
      </c>
      <c r="BK200" s="3">
        <f t="shared" si="113"/>
        <v>-3.9217701745446198E-3</v>
      </c>
    </row>
    <row r="201" spans="1:63" x14ac:dyDescent="0.2">
      <c r="A201" s="3" t="s">
        <v>208</v>
      </c>
      <c r="B201" s="3">
        <v>69.349999999999994</v>
      </c>
      <c r="C201" s="3">
        <v>81.45</v>
      </c>
      <c r="D201" s="3">
        <v>15.46</v>
      </c>
      <c r="E201" s="3">
        <v>59.5</v>
      </c>
      <c r="F201" s="3">
        <v>52.6</v>
      </c>
      <c r="G201" s="3">
        <v>170.8</v>
      </c>
      <c r="H201" s="3">
        <v>37.5</v>
      </c>
      <c r="I201" s="3">
        <v>113.6</v>
      </c>
      <c r="J201" s="3">
        <v>10.02</v>
      </c>
      <c r="K201" s="3">
        <v>72.900000000000006</v>
      </c>
      <c r="L201" s="3">
        <v>26222.400390999999</v>
      </c>
      <c r="N201" s="3">
        <f t="shared" si="94"/>
        <v>3.5984205795331903E-3</v>
      </c>
      <c r="O201" s="3">
        <f t="shared" si="95"/>
        <v>1.220271395755379E-2</v>
      </c>
      <c r="P201" s="3">
        <f t="shared" si="96"/>
        <v>2.5839807659249203E-3</v>
      </c>
      <c r="Q201" s="3">
        <f t="shared" si="97"/>
        <v>7.5345689219394885E-3</v>
      </c>
      <c r="R201" s="3">
        <f t="shared" si="98"/>
        <v>2.8476526125116308E-3</v>
      </c>
      <c r="S201" s="3">
        <f t="shared" si="99"/>
        <v>4.6729056993921603E-3</v>
      </c>
      <c r="T201" s="3">
        <f t="shared" si="100"/>
        <v>7.9681696491769038E-3</v>
      </c>
      <c r="U201" s="3">
        <f t="shared" si="101"/>
        <v>3.5149421074445186E-3</v>
      </c>
      <c r="V201" s="3">
        <f t="shared" si="102"/>
        <v>0</v>
      </c>
      <c r="W201" s="3">
        <f t="shared" si="103"/>
        <v>-1.1034594723708935E-2</v>
      </c>
      <c r="X201" s="3">
        <f t="shared" si="104"/>
        <v>2.2322224044994954E-3</v>
      </c>
      <c r="AZ201" s="3" t="s">
        <v>206</v>
      </c>
      <c r="BA201" s="3">
        <v>196</v>
      </c>
      <c r="BB201" s="3">
        <f t="shared" si="105"/>
        <v>0.95780988936184885</v>
      </c>
      <c r="BC201" s="3">
        <f t="shared" si="106"/>
        <v>0.9578412568657303</v>
      </c>
      <c r="BD201" s="3">
        <f t="shared" si="107"/>
        <v>0.9990652208735985</v>
      </c>
      <c r="BE201" s="3">
        <f t="shared" si="108"/>
        <v>1.0445962656806322</v>
      </c>
      <c r="BF201" s="3">
        <f t="shared" si="109"/>
        <v>0.99857391868109058</v>
      </c>
      <c r="BH201" s="3">
        <f t="shared" si="110"/>
        <v>4.9591973906661369E-3</v>
      </c>
      <c r="BI201" s="3">
        <f t="shared" si="111"/>
        <v>5.4882517271533857E-3</v>
      </c>
      <c r="BJ201" s="3">
        <f t="shared" si="112"/>
        <v>9.2730180966592978E-3</v>
      </c>
      <c r="BK201" s="3">
        <f t="shared" si="113"/>
        <v>1.4148410479989763E-2</v>
      </c>
    </row>
    <row r="202" spans="1:63" x14ac:dyDescent="0.2">
      <c r="A202" s="3" t="s">
        <v>209</v>
      </c>
      <c r="B202" s="3">
        <v>69.599999999999994</v>
      </c>
      <c r="C202" s="3">
        <v>82.45</v>
      </c>
      <c r="D202" s="3">
        <v>15.5</v>
      </c>
      <c r="E202" s="3">
        <v>59.95</v>
      </c>
      <c r="F202" s="3">
        <v>52.75</v>
      </c>
      <c r="G202" s="3">
        <v>171.6</v>
      </c>
      <c r="H202" s="3">
        <v>37.799999999999997</v>
      </c>
      <c r="I202" s="3">
        <v>114</v>
      </c>
      <c r="J202" s="3">
        <v>10.02</v>
      </c>
      <c r="K202" s="3">
        <v>72.099999999999994</v>
      </c>
      <c r="L202" s="3">
        <v>26281</v>
      </c>
      <c r="N202" s="3">
        <f t="shared" si="94"/>
        <v>-4.3196611445166511E-3</v>
      </c>
      <c r="O202" s="3">
        <f t="shared" si="95"/>
        <v>-5.4728017413543384E-3</v>
      </c>
      <c r="P202" s="3">
        <f t="shared" si="96"/>
        <v>-1.8229671491661215E-2</v>
      </c>
      <c r="Q202" s="3">
        <f t="shared" si="97"/>
        <v>-9.2166551049244205E-3</v>
      </c>
      <c r="R202" s="3">
        <f t="shared" si="98"/>
        <v>9.4741835604006397E-4</v>
      </c>
      <c r="S202" s="3">
        <f t="shared" si="99"/>
        <v>-1.349389791477229E-2</v>
      </c>
      <c r="T202" s="3">
        <f t="shared" si="100"/>
        <v>-2.6811257450656711E-2</v>
      </c>
      <c r="U202" s="3">
        <f t="shared" si="101"/>
        <v>-1.3245226750020933E-2</v>
      </c>
      <c r="V202" s="3">
        <f t="shared" si="102"/>
        <v>-1.9980026626726932E-3</v>
      </c>
      <c r="W202" s="3">
        <f t="shared" si="103"/>
        <v>-8.356594590941846E-3</v>
      </c>
      <c r="X202" s="3">
        <f t="shared" si="104"/>
        <v>-1.2853856909107009E-2</v>
      </c>
      <c r="AZ202" s="3" t="s">
        <v>207</v>
      </c>
      <c r="BA202" s="3">
        <v>197</v>
      </c>
      <c r="BB202" s="3">
        <f t="shared" si="105"/>
        <v>0.96257165517513277</v>
      </c>
      <c r="BC202" s="3">
        <f t="shared" si="106"/>
        <v>0.96311258274833245</v>
      </c>
      <c r="BD202" s="3">
        <f t="shared" si="107"/>
        <v>1.0083726580687067</v>
      </c>
      <c r="BE202" s="3">
        <f t="shared" si="108"/>
        <v>1.0594806896100089</v>
      </c>
      <c r="BF202" s="3">
        <f t="shared" si="109"/>
        <v>0.99731841595065407</v>
      </c>
      <c r="BH202" s="3">
        <f t="shared" si="110"/>
        <v>-9.189787801565194E-3</v>
      </c>
      <c r="BI202" s="3">
        <f t="shared" si="111"/>
        <v>-8.8930842587328154E-3</v>
      </c>
      <c r="BJ202" s="3">
        <f t="shared" si="112"/>
        <v>-7.1763160560711133E-3</v>
      </c>
      <c r="BK202" s="3">
        <f t="shared" si="113"/>
        <v>-4.5215147213495191E-3</v>
      </c>
    </row>
    <row r="203" spans="1:63" x14ac:dyDescent="0.2">
      <c r="A203" s="3" t="s">
        <v>210</v>
      </c>
      <c r="B203" s="3">
        <v>69.3</v>
      </c>
      <c r="C203" s="3">
        <v>82</v>
      </c>
      <c r="D203" s="3">
        <v>15.22</v>
      </c>
      <c r="E203" s="3">
        <v>59.4</v>
      </c>
      <c r="F203" s="3">
        <v>52.8</v>
      </c>
      <c r="G203" s="3">
        <v>169.3</v>
      </c>
      <c r="H203" s="3">
        <v>36.799999999999997</v>
      </c>
      <c r="I203" s="3">
        <v>112.5</v>
      </c>
      <c r="J203" s="3">
        <v>10</v>
      </c>
      <c r="K203" s="3">
        <v>71.5</v>
      </c>
      <c r="L203" s="3">
        <v>25945.349609000001</v>
      </c>
      <c r="N203" s="3">
        <f t="shared" si="94"/>
        <v>-7.2176112840960371E-4</v>
      </c>
      <c r="O203" s="3">
        <f t="shared" si="95"/>
        <v>-3.6652453982961575E-3</v>
      </c>
      <c r="P203" s="3">
        <f t="shared" si="96"/>
        <v>6.5488118789054361E-3</v>
      </c>
      <c r="Q203" s="3">
        <f t="shared" si="97"/>
        <v>5.8749644430209358E-3</v>
      </c>
      <c r="R203" s="3">
        <f t="shared" si="98"/>
        <v>-3.7950709685516948E-3</v>
      </c>
      <c r="S203" s="3">
        <f t="shared" si="99"/>
        <v>-6.5185416002417895E-3</v>
      </c>
      <c r="T203" s="3">
        <f t="shared" si="100"/>
        <v>-4.0844168422249361E-3</v>
      </c>
      <c r="U203" s="3">
        <f t="shared" si="101"/>
        <v>-4.4543503493805758E-3</v>
      </c>
      <c r="V203" s="3">
        <f t="shared" si="102"/>
        <v>1.980262729617932E-2</v>
      </c>
      <c r="W203" s="3">
        <f t="shared" si="103"/>
        <v>1.3889112160667239E-2</v>
      </c>
      <c r="X203" s="3">
        <f t="shared" si="104"/>
        <v>3.7155316229178226E-3</v>
      </c>
      <c r="AZ203" s="3" t="s">
        <v>208</v>
      </c>
      <c r="BA203" s="3">
        <v>198</v>
      </c>
      <c r="BB203" s="3">
        <f t="shared" si="105"/>
        <v>0.95376634734439869</v>
      </c>
      <c r="BC203" s="3">
        <f t="shared" si="106"/>
        <v>0.9545855135698964</v>
      </c>
      <c r="BD203" s="3">
        <f t="shared" si="107"/>
        <v>1.0011621605214975</v>
      </c>
      <c r="BE203" s="3">
        <f t="shared" si="108"/>
        <v>1.0547010458327575</v>
      </c>
      <c r="BF203" s="3">
        <f t="shared" si="109"/>
        <v>0.98927255853697638</v>
      </c>
      <c r="BH203" s="3">
        <f t="shared" si="110"/>
        <v>3.5556689749058346E-3</v>
      </c>
      <c r="BI203" s="3">
        <f t="shared" si="111"/>
        <v>3.9507225059395926E-3</v>
      </c>
      <c r="BJ203" s="3">
        <f t="shared" si="112"/>
        <v>5.3520171518328316E-3</v>
      </c>
      <c r="BK203" s="3">
        <f t="shared" si="113"/>
        <v>7.1069165932044903E-3</v>
      </c>
    </row>
    <row r="204" spans="1:63" x14ac:dyDescent="0.2">
      <c r="A204" s="3" t="s">
        <v>211</v>
      </c>
      <c r="B204" s="3">
        <v>69.25</v>
      </c>
      <c r="C204" s="3">
        <v>81.7</v>
      </c>
      <c r="D204" s="3">
        <v>15.32</v>
      </c>
      <c r="E204" s="3">
        <v>59.75</v>
      </c>
      <c r="F204" s="3">
        <v>52.6</v>
      </c>
      <c r="G204" s="3">
        <v>168.2</v>
      </c>
      <c r="H204" s="3">
        <v>36.65</v>
      </c>
      <c r="I204" s="3">
        <v>112</v>
      </c>
      <c r="J204" s="3">
        <v>10.199999999999999</v>
      </c>
      <c r="K204" s="3">
        <v>72.5</v>
      </c>
      <c r="L204" s="3">
        <v>26041.929688</v>
      </c>
      <c r="N204" s="3">
        <f t="shared" si="94"/>
        <v>-2.1684142938234174E-3</v>
      </c>
      <c r="O204" s="3">
        <f t="shared" si="95"/>
        <v>8.5314350494689606E-3</v>
      </c>
      <c r="P204" s="3">
        <f t="shared" si="96"/>
        <v>-1.3063359140552677E-3</v>
      </c>
      <c r="Q204" s="3">
        <f t="shared" si="97"/>
        <v>2.5073143097831263E-3</v>
      </c>
      <c r="R204" s="3">
        <f t="shared" si="98"/>
        <v>-9.5511709843427717E-3</v>
      </c>
      <c r="S204" s="3">
        <f t="shared" si="99"/>
        <v>7.6991792816567539E-3</v>
      </c>
      <c r="T204" s="3">
        <f t="shared" si="100"/>
        <v>-1.3651879253400168E-3</v>
      </c>
      <c r="U204" s="3">
        <f t="shared" si="101"/>
        <v>0</v>
      </c>
      <c r="V204" s="3">
        <f t="shared" si="102"/>
        <v>-1.9627091678486863E-3</v>
      </c>
      <c r="W204" s="3">
        <f t="shared" si="103"/>
        <v>-1.380262468957838E-3</v>
      </c>
      <c r="X204" s="3">
        <f t="shared" si="104"/>
        <v>-3.3509493913275179E-3</v>
      </c>
      <c r="AZ204" s="3" t="s">
        <v>209</v>
      </c>
      <c r="BA204" s="3">
        <v>199</v>
      </c>
      <c r="BB204" s="3">
        <f t="shared" si="105"/>
        <v>0.95716366103711747</v>
      </c>
      <c r="BC204" s="3">
        <f t="shared" si="106"/>
        <v>0.95836427554722103</v>
      </c>
      <c r="BD204" s="3">
        <f t="shared" si="107"/>
        <v>1.0065347618792504</v>
      </c>
      <c r="BE204" s="3">
        <f t="shared" si="108"/>
        <v>1.0622234169665734</v>
      </c>
      <c r="BF204" s="3">
        <f t="shared" si="109"/>
        <v>0.99148330142322239</v>
      </c>
      <c r="BH204" s="3">
        <f t="shared" si="110"/>
        <v>-1.0298855029581278E-2</v>
      </c>
      <c r="BI204" s="3">
        <f t="shared" si="111"/>
        <v>-9.6590612381635757E-3</v>
      </c>
      <c r="BJ204" s="3">
        <f t="shared" si="112"/>
        <v>-6.3903370765518164E-3</v>
      </c>
      <c r="BK204" s="3">
        <f t="shared" si="113"/>
        <v>-1.6181548378523675E-4</v>
      </c>
    </row>
    <row r="205" spans="1:63" x14ac:dyDescent="0.2">
      <c r="A205" s="3" t="s">
        <v>212</v>
      </c>
      <c r="B205" s="3">
        <v>69.099999999999994</v>
      </c>
      <c r="C205" s="3">
        <v>82.4</v>
      </c>
      <c r="D205" s="3">
        <v>15.3</v>
      </c>
      <c r="E205" s="3">
        <v>59.9</v>
      </c>
      <c r="F205" s="3">
        <v>52.1</v>
      </c>
      <c r="G205" s="3">
        <v>169.5</v>
      </c>
      <c r="H205" s="3">
        <v>36.6</v>
      </c>
      <c r="I205" s="3">
        <v>112</v>
      </c>
      <c r="J205" s="3">
        <v>10.18</v>
      </c>
      <c r="K205" s="3">
        <v>72.400000000000006</v>
      </c>
      <c r="L205" s="3">
        <v>25954.810547000001</v>
      </c>
      <c r="N205" s="3">
        <f t="shared" si="94"/>
        <v>1.4461318499998654E-3</v>
      </c>
      <c r="O205" s="3">
        <f t="shared" si="95"/>
        <v>-6.0698029177697066E-4</v>
      </c>
      <c r="P205" s="3">
        <f t="shared" si="96"/>
        <v>-1.3080446600155504E-3</v>
      </c>
      <c r="Q205" s="3">
        <f t="shared" si="97"/>
        <v>8.312599819365829E-3</v>
      </c>
      <c r="R205" s="3">
        <f t="shared" si="98"/>
        <v>1.0501289820663118E-2</v>
      </c>
      <c r="S205" s="3">
        <f t="shared" si="99"/>
        <v>-2.9542118974310583E-3</v>
      </c>
      <c r="T205" s="3">
        <f t="shared" si="100"/>
        <v>-2.7359798188744122E-3</v>
      </c>
      <c r="U205" s="3">
        <f t="shared" si="101"/>
        <v>7.1174677688645716E-3</v>
      </c>
      <c r="V205" s="3">
        <f t="shared" si="102"/>
        <v>0</v>
      </c>
      <c r="W205" s="3">
        <f t="shared" si="103"/>
        <v>7.5679755771238533E-3</v>
      </c>
      <c r="X205" s="3">
        <f t="shared" si="104"/>
        <v>5.2821139396996841E-3</v>
      </c>
      <c r="AZ205" s="3" t="s">
        <v>210</v>
      </c>
      <c r="BA205" s="3">
        <v>200</v>
      </c>
      <c r="BB205" s="3">
        <f t="shared" si="105"/>
        <v>0.94735655889763748</v>
      </c>
      <c r="BC205" s="3">
        <f t="shared" si="106"/>
        <v>0.94915193920553442</v>
      </c>
      <c r="BD205" s="3">
        <f t="shared" si="107"/>
        <v>1.0001231733962153</v>
      </c>
      <c r="BE205" s="3">
        <f t="shared" si="108"/>
        <v>1.0620515466764811</v>
      </c>
      <c r="BF205" s="3">
        <f t="shared" si="109"/>
        <v>0.97882047436973607</v>
      </c>
      <c r="BH205" s="3">
        <f t="shared" si="110"/>
        <v>2.1333626874906544E-3</v>
      </c>
      <c r="BI205" s="3">
        <f t="shared" si="111"/>
        <v>1.5144128533372894E-3</v>
      </c>
      <c r="BJ205" s="3">
        <f t="shared" si="112"/>
        <v>-1.4232846480250483E-3</v>
      </c>
      <c r="BK205" s="3">
        <f t="shared" si="113"/>
        <v>-5.6463190847659273E-3</v>
      </c>
    </row>
    <row r="206" spans="1:63" x14ac:dyDescent="0.2">
      <c r="A206" s="3" t="s">
        <v>213</v>
      </c>
      <c r="B206" s="3">
        <v>69.2</v>
      </c>
      <c r="C206" s="3">
        <v>82.35</v>
      </c>
      <c r="D206" s="3">
        <v>15.28</v>
      </c>
      <c r="E206" s="3">
        <v>60.4</v>
      </c>
      <c r="F206" s="3">
        <v>52.65</v>
      </c>
      <c r="G206" s="3">
        <v>169</v>
      </c>
      <c r="H206" s="3">
        <v>36.5</v>
      </c>
      <c r="I206" s="3">
        <v>112.8</v>
      </c>
      <c r="J206" s="3">
        <v>10.18</v>
      </c>
      <c r="K206" s="3">
        <v>72.95</v>
      </c>
      <c r="L206" s="3">
        <v>26092.269531000002</v>
      </c>
      <c r="N206" s="3">
        <f t="shared" si="94"/>
        <v>4.3258899471219081E-3</v>
      </c>
      <c r="O206" s="3">
        <f t="shared" si="95"/>
        <v>-1.4679162663048473E-2</v>
      </c>
      <c r="P206" s="3">
        <f t="shared" si="96"/>
        <v>-5.2493558861437251E-3</v>
      </c>
      <c r="Q206" s="3">
        <f t="shared" si="97"/>
        <v>-1.2494956396843726E-2</v>
      </c>
      <c r="R206" s="3">
        <f t="shared" si="98"/>
        <v>1.0392157767614041E-2</v>
      </c>
      <c r="S206" s="3">
        <f t="shared" si="99"/>
        <v>-1.0110106930294904E-2</v>
      </c>
      <c r="T206" s="3">
        <f t="shared" si="100"/>
        <v>1.630470902494352E-2</v>
      </c>
      <c r="U206" s="3">
        <f t="shared" si="101"/>
        <v>9.7045313891781504E-3</v>
      </c>
      <c r="V206" s="3">
        <f t="shared" si="102"/>
        <v>2.7133447514400277E-2</v>
      </c>
      <c r="W206" s="3">
        <f t="shared" si="103"/>
        <v>8.8707507660359397E-3</v>
      </c>
      <c r="X206" s="3">
        <f t="shared" si="104"/>
        <v>-1.9019902926107335E-3</v>
      </c>
      <c r="AZ206" s="3" t="s">
        <v>211</v>
      </c>
      <c r="BA206" s="3">
        <v>201</v>
      </c>
      <c r="BB206" s="3">
        <f t="shared" si="105"/>
        <v>0.94937977138781382</v>
      </c>
      <c r="BC206" s="3">
        <f t="shared" si="106"/>
        <v>0.95059043606617866</v>
      </c>
      <c r="BD206" s="3">
        <f t="shared" si="107"/>
        <v>0.99870072595131743</v>
      </c>
      <c r="BE206" s="3">
        <f t="shared" si="108"/>
        <v>1.0560717625308913</v>
      </c>
      <c r="BF206" s="3">
        <f t="shared" si="109"/>
        <v>0.98246407756514853</v>
      </c>
      <c r="BH206" s="3">
        <f t="shared" si="110"/>
        <v>4.9401480414344723E-5</v>
      </c>
      <c r="BI206" s="3">
        <f t="shared" si="111"/>
        <v>-1.7951611263539863E-4</v>
      </c>
      <c r="BJ206" s="3">
        <f t="shared" si="112"/>
        <v>-2.531408715932308E-3</v>
      </c>
      <c r="BK206" s="3">
        <f t="shared" si="113"/>
        <v>-6.5505184260800861E-3</v>
      </c>
    </row>
    <row r="207" spans="1:63" x14ac:dyDescent="0.2">
      <c r="A207" s="3" t="s">
        <v>214</v>
      </c>
      <c r="B207" s="3">
        <v>69.5</v>
      </c>
      <c r="C207" s="3">
        <v>81.150000000000006</v>
      </c>
      <c r="D207" s="3">
        <v>15.2</v>
      </c>
      <c r="E207" s="3">
        <v>59.65</v>
      </c>
      <c r="F207" s="3">
        <v>53.2</v>
      </c>
      <c r="G207" s="3">
        <v>167.3</v>
      </c>
      <c r="H207" s="3">
        <v>37.1</v>
      </c>
      <c r="I207" s="3">
        <v>113.9</v>
      </c>
      <c r="J207" s="3">
        <v>10.46</v>
      </c>
      <c r="K207" s="3">
        <v>73.599999999999994</v>
      </c>
      <c r="L207" s="3">
        <v>26042.689452999999</v>
      </c>
      <c r="N207" s="3">
        <f t="shared" si="94"/>
        <v>1.4378147696278987E-3</v>
      </c>
      <c r="O207" s="3">
        <f t="shared" si="95"/>
        <v>1.1638722497782084E-2</v>
      </c>
      <c r="P207" s="3">
        <f t="shared" si="96"/>
        <v>1.1772536225267416E-2</v>
      </c>
      <c r="Q207" s="3">
        <f t="shared" si="97"/>
        <v>-1.3502314837639418E-2</v>
      </c>
      <c r="R207" s="3">
        <f t="shared" si="98"/>
        <v>9.35460516722042E-3</v>
      </c>
      <c r="S207" s="3">
        <f t="shared" si="99"/>
        <v>3.5799560907170402E-3</v>
      </c>
      <c r="T207" s="3">
        <f t="shared" si="100"/>
        <v>-6.7613509780439784E-3</v>
      </c>
      <c r="U207" s="3">
        <f t="shared" si="101"/>
        <v>2.6304267687731198E-3</v>
      </c>
      <c r="V207" s="3">
        <f t="shared" si="102"/>
        <v>5.7197486727869062E-3</v>
      </c>
      <c r="W207" s="3">
        <f t="shared" si="103"/>
        <v>2.7137058715958062E-3</v>
      </c>
      <c r="X207" s="3">
        <f t="shared" si="104"/>
        <v>2.593182823375173E-3</v>
      </c>
      <c r="AZ207" s="3" t="s">
        <v>212</v>
      </c>
      <c r="BA207" s="3">
        <v>202</v>
      </c>
      <c r="BB207" s="3">
        <f t="shared" si="105"/>
        <v>0.94942667331249853</v>
      </c>
      <c r="BC207" s="3">
        <f t="shared" si="106"/>
        <v>0.95041980508235135</v>
      </c>
      <c r="BD207" s="3">
        <f t="shared" si="107"/>
        <v>0.99617580338284961</v>
      </c>
      <c r="BE207" s="3">
        <f t="shared" si="108"/>
        <v>1.0491765532446051</v>
      </c>
      <c r="BF207" s="3">
        <f t="shared" si="109"/>
        <v>0.97917739998302322</v>
      </c>
      <c r="BH207" s="3">
        <f t="shared" si="110"/>
        <v>2.6431681179549665E-3</v>
      </c>
      <c r="BI207" s="3">
        <f t="shared" si="111"/>
        <v>3.0722083559749161E-3</v>
      </c>
      <c r="BJ207" s="3">
        <f t="shared" si="112"/>
        <v>3.3091117255431403E-3</v>
      </c>
      <c r="BK207" s="3">
        <f t="shared" si="113"/>
        <v>5.0498242968719451E-3</v>
      </c>
    </row>
    <row r="208" spans="1:63" x14ac:dyDescent="0.2">
      <c r="A208" s="3" t="s">
        <v>215</v>
      </c>
      <c r="B208" s="3">
        <v>69.599999999999994</v>
      </c>
      <c r="C208" s="3">
        <v>82.1</v>
      </c>
      <c r="D208" s="3">
        <v>15.38</v>
      </c>
      <c r="E208" s="3">
        <v>58.85</v>
      </c>
      <c r="F208" s="3">
        <v>53.7</v>
      </c>
      <c r="G208" s="3">
        <v>167.9</v>
      </c>
      <c r="H208" s="3">
        <v>36.85</v>
      </c>
      <c r="I208" s="3">
        <v>114.2</v>
      </c>
      <c r="J208" s="3">
        <v>10.52</v>
      </c>
      <c r="K208" s="3">
        <v>73.8</v>
      </c>
      <c r="L208" s="3">
        <v>26110.310547000001</v>
      </c>
      <c r="N208" s="3">
        <f t="shared" si="94"/>
        <v>-1.7391742711868829E-2</v>
      </c>
      <c r="O208" s="3">
        <f t="shared" si="95"/>
        <v>-1.3488861785943662E-2</v>
      </c>
      <c r="P208" s="3">
        <f t="shared" si="96"/>
        <v>-1.4407583863272233E-2</v>
      </c>
      <c r="Q208" s="3">
        <f t="shared" si="97"/>
        <v>-1.0247741260475784E-2</v>
      </c>
      <c r="R208" s="3">
        <f t="shared" si="98"/>
        <v>-1.0294896726862124E-2</v>
      </c>
      <c r="S208" s="3">
        <f t="shared" si="99"/>
        <v>-1.9850275840526344E-2</v>
      </c>
      <c r="T208" s="3">
        <f t="shared" si="100"/>
        <v>-1.779649980361997E-2</v>
      </c>
      <c r="U208" s="3">
        <f t="shared" si="101"/>
        <v>-2.9322402865588515E-2</v>
      </c>
      <c r="V208" s="3">
        <f t="shared" si="102"/>
        <v>-1.1472401162236689E-2</v>
      </c>
      <c r="W208" s="3">
        <f t="shared" si="103"/>
        <v>-4.7538289865398653E-3</v>
      </c>
      <c r="X208" s="3">
        <f t="shared" si="104"/>
        <v>-1.114102748187662E-2</v>
      </c>
      <c r="AZ208" s="3" t="s">
        <v>213</v>
      </c>
      <c r="BA208" s="3">
        <v>203</v>
      </c>
      <c r="BB208" s="3">
        <f t="shared" si="105"/>
        <v>0.95193948705737563</v>
      </c>
      <c r="BC208" s="3">
        <f t="shared" si="106"/>
        <v>0.9533441825975929</v>
      </c>
      <c r="BD208" s="3">
        <f t="shared" si="107"/>
        <v>0.9994777206079698</v>
      </c>
      <c r="BE208" s="3">
        <f t="shared" si="108"/>
        <v>1.054488110422759</v>
      </c>
      <c r="BF208" s="3">
        <f t="shared" si="109"/>
        <v>0.98436321054071141</v>
      </c>
      <c r="BH208" s="3">
        <f t="shared" si="110"/>
        <v>3.6014167649878678E-3</v>
      </c>
      <c r="BI208" s="3">
        <f t="shared" si="111"/>
        <v>1.8587541797056156E-3</v>
      </c>
      <c r="BJ208" s="3">
        <f t="shared" si="112"/>
        <v>1.838473411438338E-3</v>
      </c>
      <c r="BK208" s="3">
        <f t="shared" si="113"/>
        <v>1.1916006525214407E-4</v>
      </c>
    </row>
    <row r="209" spans="1:63" x14ac:dyDescent="0.2">
      <c r="A209" s="3" t="s">
        <v>216</v>
      </c>
      <c r="B209" s="3">
        <v>68.400000000000006</v>
      </c>
      <c r="C209" s="3">
        <v>81</v>
      </c>
      <c r="D209" s="3">
        <v>15.16</v>
      </c>
      <c r="E209" s="3">
        <v>58.25</v>
      </c>
      <c r="F209" s="3">
        <v>53.15</v>
      </c>
      <c r="G209" s="3">
        <v>164.6</v>
      </c>
      <c r="H209" s="3">
        <v>36.200000000000003</v>
      </c>
      <c r="I209" s="3">
        <v>110.9</v>
      </c>
      <c r="J209" s="3">
        <v>10.4</v>
      </c>
      <c r="K209" s="3">
        <v>73.45</v>
      </c>
      <c r="L209" s="3">
        <v>25821.029297000001</v>
      </c>
      <c r="N209" s="3">
        <f t="shared" si="94"/>
        <v>-8.8106296821557351E-3</v>
      </c>
      <c r="O209" s="3">
        <f t="shared" si="95"/>
        <v>-1.8535686493237336E-3</v>
      </c>
      <c r="P209" s="3">
        <f t="shared" si="96"/>
        <v>-2.642009462838768E-3</v>
      </c>
      <c r="Q209" s="3">
        <f t="shared" si="97"/>
        <v>3.4275954722673418E-3</v>
      </c>
      <c r="R209" s="3">
        <f t="shared" si="98"/>
        <v>-8.5026492406403698E-3</v>
      </c>
      <c r="S209" s="3">
        <f t="shared" si="99"/>
        <v>3.6385728439087828E-3</v>
      </c>
      <c r="T209" s="3">
        <f t="shared" si="100"/>
        <v>4.1350851478028083E-3</v>
      </c>
      <c r="U209" s="3">
        <f t="shared" si="101"/>
        <v>-1.0879527075136508E-2</v>
      </c>
      <c r="V209" s="3">
        <f t="shared" si="102"/>
        <v>-2.5317807984289953E-2</v>
      </c>
      <c r="W209" s="3">
        <f t="shared" si="103"/>
        <v>-1.8550858328983288E-2</v>
      </c>
      <c r="X209" s="3">
        <f t="shared" si="104"/>
        <v>2.7988761233999071E-3</v>
      </c>
      <c r="AZ209" s="3" t="s">
        <v>214</v>
      </c>
      <c r="BA209" s="3">
        <v>204</v>
      </c>
      <c r="BB209" s="3">
        <f t="shared" si="105"/>
        <v>0.95537399872707951</v>
      </c>
      <c r="BC209" s="3">
        <f t="shared" si="106"/>
        <v>0.95511786298894741</v>
      </c>
      <c r="BD209" s="3">
        <f t="shared" si="107"/>
        <v>1.0013169239678303</v>
      </c>
      <c r="BE209" s="3">
        <f t="shared" si="108"/>
        <v>1.0546137707815042</v>
      </c>
      <c r="BF209" s="3">
        <f t="shared" si="109"/>
        <v>0.98249274064153469</v>
      </c>
      <c r="BH209" s="3">
        <f t="shared" si="110"/>
        <v>3.0776385002589668E-3</v>
      </c>
      <c r="BI209" s="3">
        <f t="shared" si="111"/>
        <v>3.4395679045817751E-3</v>
      </c>
      <c r="BJ209" s="3">
        <f t="shared" si="112"/>
        <v>1.0966522419786223E-2</v>
      </c>
      <c r="BK209" s="3">
        <f t="shared" si="113"/>
        <v>2.058217484576131E-2</v>
      </c>
    </row>
    <row r="210" spans="1:63" x14ac:dyDescent="0.2">
      <c r="A210" s="3" t="s">
        <v>217</v>
      </c>
      <c r="B210" s="3">
        <v>67.8</v>
      </c>
      <c r="C210" s="3">
        <v>80.849999999999994</v>
      </c>
      <c r="D210" s="3">
        <v>15.12</v>
      </c>
      <c r="E210" s="3">
        <v>58.45</v>
      </c>
      <c r="F210" s="3">
        <v>52.7</v>
      </c>
      <c r="G210" s="3">
        <v>165.2</v>
      </c>
      <c r="H210" s="3">
        <v>36.35</v>
      </c>
      <c r="I210" s="3">
        <v>109.7</v>
      </c>
      <c r="J210" s="3">
        <v>10.14</v>
      </c>
      <c r="K210" s="3">
        <v>72.099999999999994</v>
      </c>
      <c r="L210" s="3">
        <v>25893.400390999999</v>
      </c>
      <c r="N210" s="3">
        <f t="shared" si="94"/>
        <v>8.0793682236093289E-3</v>
      </c>
      <c r="O210" s="3">
        <f t="shared" si="95"/>
        <v>-1.5581493172778238E-2</v>
      </c>
      <c r="P210" s="3">
        <f t="shared" si="96"/>
        <v>-5.3050522296933522E-3</v>
      </c>
      <c r="Q210" s="3">
        <f t="shared" si="97"/>
        <v>-6.0060240602117787E-3</v>
      </c>
      <c r="R210" s="3">
        <f t="shared" si="98"/>
        <v>-3.8022859497384154E-3</v>
      </c>
      <c r="S210" s="3">
        <f t="shared" si="99"/>
        <v>-3.323382775470396E-2</v>
      </c>
      <c r="T210" s="3">
        <f t="shared" si="100"/>
        <v>5.4869822162588733E-3</v>
      </c>
      <c r="U210" s="3">
        <f t="shared" si="101"/>
        <v>-1.0999194300670645E-2</v>
      </c>
      <c r="V210" s="3">
        <f t="shared" si="102"/>
        <v>-3.9525743158232984E-3</v>
      </c>
      <c r="W210" s="3">
        <f t="shared" si="103"/>
        <v>-2.5993736077047913E-2</v>
      </c>
      <c r="X210" s="3">
        <f t="shared" si="104"/>
        <v>-8.1662072675801056E-3</v>
      </c>
      <c r="AZ210" s="3" t="s">
        <v>215</v>
      </c>
      <c r="BA210" s="3">
        <v>205</v>
      </c>
      <c r="BB210" s="3">
        <f t="shared" si="105"/>
        <v>0.95831882375673871</v>
      </c>
      <c r="BC210" s="3">
        <f t="shared" si="106"/>
        <v>0.95840871204056521</v>
      </c>
      <c r="BD210" s="3">
        <f t="shared" si="107"/>
        <v>1.0123583206688478</v>
      </c>
      <c r="BE210" s="3">
        <f t="shared" si="108"/>
        <v>1.0765449371447262</v>
      </c>
      <c r="BF210" s="3">
        <f t="shared" si="109"/>
        <v>0.9850438302319221</v>
      </c>
      <c r="BH210" s="3">
        <f t="shared" si="110"/>
        <v>-1.5057096260397522E-2</v>
      </c>
      <c r="BI210" s="3">
        <f t="shared" si="111"/>
        <v>-1.4478197046476952E-2</v>
      </c>
      <c r="BJ210" s="3">
        <f t="shared" si="112"/>
        <v>-1.3674197279615221E-2</v>
      </c>
      <c r="BK210" s="3">
        <f t="shared" si="113"/>
        <v>-1.1186245110397688E-2</v>
      </c>
    </row>
    <row r="211" spans="1:63" x14ac:dyDescent="0.2">
      <c r="A211" s="3" t="s">
        <v>218</v>
      </c>
      <c r="B211" s="3">
        <v>68.349999999999994</v>
      </c>
      <c r="C211" s="3">
        <v>79.599999999999994</v>
      </c>
      <c r="D211" s="3">
        <v>15.04</v>
      </c>
      <c r="E211" s="3">
        <v>58.1</v>
      </c>
      <c r="F211" s="3">
        <v>52.5</v>
      </c>
      <c r="G211" s="3">
        <v>159.80000000000001</v>
      </c>
      <c r="H211" s="3">
        <v>36.549999999999997</v>
      </c>
      <c r="I211" s="3">
        <v>108.5</v>
      </c>
      <c r="J211" s="3">
        <v>10.1</v>
      </c>
      <c r="K211" s="3">
        <v>70.25</v>
      </c>
      <c r="L211" s="3">
        <v>25682.810547000001</v>
      </c>
      <c r="N211" s="3">
        <f t="shared" si="94"/>
        <v>5.1076360583452995E-3</v>
      </c>
      <c r="O211" s="3">
        <f t="shared" si="95"/>
        <v>0</v>
      </c>
      <c r="P211" s="3">
        <f t="shared" si="96"/>
        <v>-5.3333459753623913E-3</v>
      </c>
      <c r="Q211" s="3">
        <f t="shared" si="97"/>
        <v>-1.1250659563101451E-2</v>
      </c>
      <c r="R211" s="3">
        <f t="shared" si="98"/>
        <v>7.5901692666753284E-3</v>
      </c>
      <c r="S211" s="3">
        <f t="shared" si="99"/>
        <v>-1.1328000305207198E-2</v>
      </c>
      <c r="T211" s="3">
        <f t="shared" si="100"/>
        <v>-1.5162247739677337E-2</v>
      </c>
      <c r="U211" s="3">
        <f t="shared" si="101"/>
        <v>-2.7688065681328311E-3</v>
      </c>
      <c r="V211" s="3">
        <f t="shared" si="102"/>
        <v>-5.9583095836308608E-3</v>
      </c>
      <c r="W211" s="3">
        <f t="shared" si="103"/>
        <v>4.2613700849676306E-3</v>
      </c>
      <c r="X211" s="3">
        <f t="shared" si="104"/>
        <v>9.7757467145065391E-4</v>
      </c>
      <c r="AZ211" s="3" t="s">
        <v>216</v>
      </c>
      <c r="BA211" s="3">
        <v>206</v>
      </c>
      <c r="BB211" s="3">
        <f t="shared" si="105"/>
        <v>0.9439974149681698</v>
      </c>
      <c r="BC211" s="3">
        <f t="shared" si="106"/>
        <v>0.94463264877774977</v>
      </c>
      <c r="BD211" s="3">
        <f t="shared" si="107"/>
        <v>0.99860935057450051</v>
      </c>
      <c r="BE211" s="3">
        <f t="shared" si="108"/>
        <v>1.0645695463092597</v>
      </c>
      <c r="BF211" s="3">
        <f t="shared" si="109"/>
        <v>0.97413033649919367</v>
      </c>
      <c r="BH211" s="3">
        <f t="shared" si="110"/>
        <v>-6.4850746259769582E-3</v>
      </c>
      <c r="BI211" s="3">
        <f t="shared" si="111"/>
        <v>-5.5486084035833091E-3</v>
      </c>
      <c r="BJ211" s="3">
        <f t="shared" si="112"/>
        <v>-6.0399739866055244E-3</v>
      </c>
      <c r="BK211" s="3">
        <f t="shared" si="113"/>
        <v>-6.1364023700075654E-3</v>
      </c>
    </row>
    <row r="212" spans="1:63" x14ac:dyDescent="0.2">
      <c r="A212" s="3" t="s">
        <v>219</v>
      </c>
      <c r="B212" s="3">
        <v>68.7</v>
      </c>
      <c r="C212" s="3">
        <v>79.599999999999994</v>
      </c>
      <c r="D212" s="3">
        <v>14.96</v>
      </c>
      <c r="E212" s="3">
        <v>57.45</v>
      </c>
      <c r="F212" s="3">
        <v>52.9</v>
      </c>
      <c r="G212" s="3">
        <v>158</v>
      </c>
      <c r="H212" s="3">
        <v>36</v>
      </c>
      <c r="I212" s="3">
        <v>108.2</v>
      </c>
      <c r="J212" s="3">
        <v>10.039999999999999</v>
      </c>
      <c r="K212" s="3">
        <v>70.55</v>
      </c>
      <c r="L212" s="3">
        <v>25707.929688</v>
      </c>
      <c r="N212" s="3">
        <f t="shared" si="94"/>
        <v>2.0886607320165673E-2</v>
      </c>
      <c r="O212" s="3">
        <f t="shared" si="95"/>
        <v>1.6199731214109114E-2</v>
      </c>
      <c r="P212" s="3">
        <f t="shared" si="96"/>
        <v>2.6386755173194665E-2</v>
      </c>
      <c r="Q212" s="3">
        <f t="shared" si="97"/>
        <v>2.5774622688615523E-2</v>
      </c>
      <c r="R212" s="3">
        <f t="shared" si="98"/>
        <v>2.0580707700021073E-2</v>
      </c>
      <c r="S212" s="3">
        <f t="shared" si="99"/>
        <v>3.4217957310341163E-2</v>
      </c>
      <c r="T212" s="3">
        <f t="shared" si="100"/>
        <v>3.6813973122716614E-2</v>
      </c>
      <c r="U212" s="3">
        <f t="shared" si="101"/>
        <v>3.6301626676214838E-2</v>
      </c>
      <c r="V212" s="3">
        <f t="shared" si="102"/>
        <v>3.1375122567753877E-2</v>
      </c>
      <c r="W212" s="3">
        <f t="shared" si="103"/>
        <v>2.0344440717232182E-2</v>
      </c>
      <c r="X212" s="3">
        <f t="shared" si="104"/>
        <v>2.3090286976840346E-2</v>
      </c>
      <c r="AZ212" s="3" t="s">
        <v>217</v>
      </c>
      <c r="BA212" s="3">
        <v>207</v>
      </c>
      <c r="BB212" s="3">
        <f t="shared" si="105"/>
        <v>0.93789532891295369</v>
      </c>
      <c r="BC212" s="3">
        <f t="shared" si="106"/>
        <v>0.93940576649593832</v>
      </c>
      <c r="BD212" s="3">
        <f t="shared" si="107"/>
        <v>0.99259595473283346</v>
      </c>
      <c r="BE212" s="3">
        <f t="shared" si="108"/>
        <v>1.058056921701086</v>
      </c>
      <c r="BF212" s="3">
        <f t="shared" si="109"/>
        <v>0.97686062572740906</v>
      </c>
      <c r="BH212" s="3">
        <f t="shared" si="110"/>
        <v>-8.8600217491363875E-3</v>
      </c>
      <c r="BI212" s="3">
        <f t="shared" si="111"/>
        <v>-8.5895008503403258E-3</v>
      </c>
      <c r="BJ212" s="3">
        <f t="shared" si="112"/>
        <v>-5.6658401076526222E-3</v>
      </c>
      <c r="BK212" s="3">
        <f t="shared" si="113"/>
        <v>-1.0905620308651193E-3</v>
      </c>
    </row>
    <row r="213" spans="1:63" x14ac:dyDescent="0.2">
      <c r="A213" s="3" t="s">
        <v>220</v>
      </c>
      <c r="B213" s="3">
        <v>70.150000000000006</v>
      </c>
      <c r="C213" s="3">
        <v>80.900000000000006</v>
      </c>
      <c r="D213" s="3">
        <v>15.36</v>
      </c>
      <c r="E213" s="3">
        <v>58.95</v>
      </c>
      <c r="F213" s="3">
        <v>54</v>
      </c>
      <c r="G213" s="3">
        <v>163.5</v>
      </c>
      <c r="H213" s="3">
        <v>37.35</v>
      </c>
      <c r="I213" s="3">
        <v>112.2</v>
      </c>
      <c r="J213" s="3">
        <v>10.36</v>
      </c>
      <c r="K213" s="3">
        <v>72</v>
      </c>
      <c r="L213" s="3">
        <v>26308.439452999999</v>
      </c>
      <c r="N213" s="3">
        <f t="shared" si="94"/>
        <v>1.9760699453990505E-2</v>
      </c>
      <c r="O213" s="3">
        <f t="shared" si="95"/>
        <v>-1.2368585373963015E-3</v>
      </c>
      <c r="P213" s="3">
        <f t="shared" si="96"/>
        <v>-5.2219439811516111E-3</v>
      </c>
      <c r="Q213" s="3">
        <f t="shared" si="97"/>
        <v>1.6821254490143822E-2</v>
      </c>
      <c r="R213" s="3">
        <f t="shared" si="98"/>
        <v>4.6189458562944097E-3</v>
      </c>
      <c r="S213" s="3">
        <f t="shared" si="99"/>
        <v>4.8810347059147219E-3</v>
      </c>
      <c r="T213" s="3">
        <f t="shared" si="100"/>
        <v>-2.6809667532581294E-3</v>
      </c>
      <c r="U213" s="3">
        <f t="shared" si="101"/>
        <v>1.7809443709948525E-3</v>
      </c>
      <c r="V213" s="3">
        <f t="shared" si="102"/>
        <v>0</v>
      </c>
      <c r="W213" s="3">
        <f t="shared" si="103"/>
        <v>8.9872710002367739E-3</v>
      </c>
      <c r="X213" s="3">
        <f t="shared" si="104"/>
        <v>8.0791273567548672E-3</v>
      </c>
      <c r="AZ213" s="3" t="s">
        <v>218</v>
      </c>
      <c r="BA213" s="3">
        <v>208</v>
      </c>
      <c r="BB213" s="3">
        <f t="shared" si="105"/>
        <v>0.92962225980606061</v>
      </c>
      <c r="BC213" s="3">
        <f t="shared" si="106"/>
        <v>0.93137129531256579</v>
      </c>
      <c r="BD213" s="3">
        <f t="shared" si="107"/>
        <v>0.98698796674561995</v>
      </c>
      <c r="BE213" s="3">
        <f t="shared" si="108"/>
        <v>1.0569036739541862</v>
      </c>
      <c r="BF213" s="3">
        <f t="shared" si="109"/>
        <v>0.96891586282739306</v>
      </c>
      <c r="BH213" s="3">
        <f t="shared" si="110"/>
        <v>-3.6003487448295901E-3</v>
      </c>
      <c r="BI213" s="3">
        <f t="shared" si="111"/>
        <v>-2.9372162714655092E-3</v>
      </c>
      <c r="BJ213" s="3">
        <f t="shared" si="112"/>
        <v>2.1472255144309293E-3</v>
      </c>
      <c r="BK213" s="3">
        <f t="shared" si="113"/>
        <v>1.0331734458327746E-2</v>
      </c>
    </row>
    <row r="214" spans="1:63" x14ac:dyDescent="0.2">
      <c r="A214" s="3" t="s">
        <v>221</v>
      </c>
      <c r="B214" s="3">
        <v>71.55</v>
      </c>
      <c r="C214" s="3">
        <v>80.8</v>
      </c>
      <c r="D214" s="3">
        <v>15.28</v>
      </c>
      <c r="E214" s="3">
        <v>59.95</v>
      </c>
      <c r="F214" s="3">
        <v>54.25</v>
      </c>
      <c r="G214" s="3">
        <v>164.3</v>
      </c>
      <c r="H214" s="3">
        <v>37.25</v>
      </c>
      <c r="I214" s="3">
        <v>112.4</v>
      </c>
      <c r="J214" s="3">
        <v>10.36</v>
      </c>
      <c r="K214" s="3">
        <v>72.650000000000006</v>
      </c>
      <c r="L214" s="3">
        <v>26521.849609000001</v>
      </c>
      <c r="N214" s="3">
        <f t="shared" si="94"/>
        <v>9.7358209900813009E-3</v>
      </c>
      <c r="O214" s="3">
        <f t="shared" si="95"/>
        <v>-2.4783160144670191E-3</v>
      </c>
      <c r="P214" s="3">
        <f t="shared" si="96"/>
        <v>-3.934431304834618E-3</v>
      </c>
      <c r="Q214" s="3">
        <f t="shared" si="97"/>
        <v>0</v>
      </c>
      <c r="R214" s="3">
        <f t="shared" si="98"/>
        <v>2.7611614413278751E-3</v>
      </c>
      <c r="S214" s="3">
        <f t="shared" si="99"/>
        <v>-1.5333020418831111E-2</v>
      </c>
      <c r="T214" s="3">
        <f t="shared" si="100"/>
        <v>-1.3431835464672304E-3</v>
      </c>
      <c r="U214" s="3">
        <f t="shared" si="101"/>
        <v>-4.4583221417111574E-3</v>
      </c>
      <c r="V214" s="3">
        <f t="shared" si="102"/>
        <v>-1.9323677510536541E-3</v>
      </c>
      <c r="W214" s="3">
        <f t="shared" si="103"/>
        <v>4.1208849525027347E-3</v>
      </c>
      <c r="X214" s="3">
        <f t="shared" si="104"/>
        <v>-6.7589470328499601E-4</v>
      </c>
      <c r="AZ214" s="3" t="s">
        <v>219</v>
      </c>
      <c r="BA214" s="3">
        <v>209</v>
      </c>
      <c r="BB214" s="3">
        <f t="shared" si="105"/>
        <v>0.92628131336488573</v>
      </c>
      <c r="BC214" s="3">
        <f t="shared" si="106"/>
        <v>0.92863967004016179</v>
      </c>
      <c r="BD214" s="3">
        <f t="shared" si="107"/>
        <v>0.98910952941186048</v>
      </c>
      <c r="BE214" s="3">
        <f t="shared" si="108"/>
        <v>1.0678799262858072</v>
      </c>
      <c r="BF214" s="3">
        <f t="shared" si="109"/>
        <v>0.96986351355786737</v>
      </c>
      <c r="BH214" s="3">
        <f t="shared" si="110"/>
        <v>2.7084777154321324E-2</v>
      </c>
      <c r="BI214" s="3">
        <f t="shared" si="111"/>
        <v>2.5980720003508165E-2</v>
      </c>
      <c r="BJ214" s="3">
        <f t="shared" si="112"/>
        <v>2.198106054839475E-2</v>
      </c>
      <c r="BK214" s="3">
        <f t="shared" si="113"/>
        <v>1.4840885460991979E-2</v>
      </c>
    </row>
    <row r="215" spans="1:63" x14ac:dyDescent="0.2">
      <c r="A215" s="3" t="s">
        <v>222</v>
      </c>
      <c r="B215" s="3">
        <v>72.25</v>
      </c>
      <c r="C215" s="3">
        <v>80.599999999999994</v>
      </c>
      <c r="D215" s="3">
        <v>15.22</v>
      </c>
      <c r="E215" s="3">
        <v>59.95</v>
      </c>
      <c r="F215" s="3">
        <v>54.4</v>
      </c>
      <c r="G215" s="3">
        <v>161.80000000000001</v>
      </c>
      <c r="H215" s="3">
        <v>37.200000000000003</v>
      </c>
      <c r="I215" s="3">
        <v>111.9</v>
      </c>
      <c r="J215" s="3">
        <v>10.34</v>
      </c>
      <c r="K215" s="3">
        <v>72.95</v>
      </c>
      <c r="L215" s="3">
        <v>26503.929688</v>
      </c>
      <c r="N215" s="3">
        <f t="shared" si="94"/>
        <v>1.5110177596449503E-2</v>
      </c>
      <c r="O215" s="3">
        <f t="shared" si="95"/>
        <v>-8.722796740354255E-3</v>
      </c>
      <c r="P215" s="3">
        <f t="shared" si="96"/>
        <v>3.934431304834618E-3</v>
      </c>
      <c r="Q215" s="3">
        <f t="shared" si="97"/>
        <v>2.4989600676379453E-3</v>
      </c>
      <c r="R215" s="3">
        <f t="shared" si="98"/>
        <v>7.3260400920731605E-3</v>
      </c>
      <c r="S215" s="3">
        <f t="shared" si="99"/>
        <v>3.7014231031857747E-3</v>
      </c>
      <c r="T215" s="3">
        <f t="shared" si="100"/>
        <v>2.7834798993443766E-2</v>
      </c>
      <c r="U215" s="3">
        <f t="shared" si="101"/>
        <v>2.906413294391097E-2</v>
      </c>
      <c r="V215" s="3">
        <f t="shared" si="102"/>
        <v>3.9815685653355359E-2</v>
      </c>
      <c r="W215" s="3">
        <f t="shared" si="103"/>
        <v>-4.8093531380448695E-3</v>
      </c>
      <c r="X215" s="3">
        <f t="shared" si="104"/>
        <v>6.0318035240563006E-3</v>
      </c>
      <c r="AZ215" s="3" t="s">
        <v>220</v>
      </c>
      <c r="BA215" s="3">
        <v>210</v>
      </c>
      <c r="BB215" s="3">
        <f t="shared" si="105"/>
        <v>0.95171227769123679</v>
      </c>
      <c r="BC215" s="3">
        <f t="shared" si="106"/>
        <v>0.95308254413383642</v>
      </c>
      <c r="BD215" s="3">
        <f t="shared" si="107"/>
        <v>1.0110919188939462</v>
      </c>
      <c r="BE215" s="3">
        <f t="shared" si="108"/>
        <v>1.0838463951732364</v>
      </c>
      <c r="BF215" s="3">
        <f t="shared" si="109"/>
        <v>0.99251848880002258</v>
      </c>
      <c r="BH215" s="3">
        <f t="shared" si="110"/>
        <v>4.3034589938963363E-3</v>
      </c>
      <c r="BI215" s="3">
        <f t="shared" si="111"/>
        <v>4.648813066236622E-3</v>
      </c>
      <c r="BJ215" s="3">
        <f t="shared" si="112"/>
        <v>3.8098236670086952E-4</v>
      </c>
      <c r="BK215" s="3">
        <f t="shared" si="113"/>
        <v>-3.0424497200576134E-3</v>
      </c>
    </row>
    <row r="216" spans="1:63" x14ac:dyDescent="0.2">
      <c r="A216" s="3" t="s">
        <v>223</v>
      </c>
      <c r="B216" s="3">
        <v>73.349999999999994</v>
      </c>
      <c r="C216" s="3">
        <v>79.900000000000006</v>
      </c>
      <c r="D216" s="3">
        <v>15.28</v>
      </c>
      <c r="E216" s="3">
        <v>60.1</v>
      </c>
      <c r="F216" s="3">
        <v>54.8</v>
      </c>
      <c r="G216" s="3">
        <v>162.4</v>
      </c>
      <c r="H216" s="3">
        <v>38.25</v>
      </c>
      <c r="I216" s="3">
        <v>115.2</v>
      </c>
      <c r="J216" s="3">
        <v>10.76</v>
      </c>
      <c r="K216" s="3">
        <v>72.599999999999994</v>
      </c>
      <c r="L216" s="3">
        <v>26664.279297000001</v>
      </c>
      <c r="N216" s="3">
        <f t="shared" si="94"/>
        <v>-1.3642566918141696E-3</v>
      </c>
      <c r="O216" s="3">
        <f t="shared" si="95"/>
        <v>2.5000013020850531E-3</v>
      </c>
      <c r="P216" s="3">
        <f t="shared" si="96"/>
        <v>6.5231803391236909E-3</v>
      </c>
      <c r="Q216" s="3">
        <f t="shared" si="97"/>
        <v>1.32233331746896E-2</v>
      </c>
      <c r="R216" s="3">
        <f t="shared" si="98"/>
        <v>-9.1282525735980613E-4</v>
      </c>
      <c r="S216" s="3">
        <f t="shared" si="99"/>
        <v>1.8304354862013206E-2</v>
      </c>
      <c r="T216" s="3">
        <f t="shared" si="100"/>
        <v>1.2987195526811046E-2</v>
      </c>
      <c r="U216" s="3">
        <f t="shared" si="101"/>
        <v>7.7821404420550522E-3</v>
      </c>
      <c r="V216" s="3">
        <f t="shared" si="102"/>
        <v>3.8290912993314663E-2</v>
      </c>
      <c r="W216" s="3">
        <f t="shared" si="103"/>
        <v>1.0277582758241088E-2</v>
      </c>
      <c r="X216" s="3">
        <f t="shared" si="104"/>
        <v>6.884774092196011E-3</v>
      </c>
      <c r="AZ216" s="3" t="s">
        <v>221</v>
      </c>
      <c r="BA216" s="3">
        <v>211</v>
      </c>
      <c r="BB216" s="3">
        <f t="shared" si="105"/>
        <v>0.95581675784879661</v>
      </c>
      <c r="BC216" s="3">
        <f t="shared" si="106"/>
        <v>0.95752356144980022</v>
      </c>
      <c r="BD216" s="3">
        <f t="shared" si="107"/>
        <v>1.0114772004742425</v>
      </c>
      <c r="BE216" s="3">
        <f t="shared" si="108"/>
        <v>1.0805538582404712</v>
      </c>
      <c r="BF216" s="3">
        <f t="shared" si="109"/>
        <v>1.000569651466136</v>
      </c>
      <c r="BH216" s="3">
        <f t="shared" si="110"/>
        <v>-1.3863722361524278E-3</v>
      </c>
      <c r="BI216" s="3">
        <f t="shared" si="111"/>
        <v>-1.0874665782670268E-3</v>
      </c>
      <c r="BJ216" s="3">
        <f t="shared" si="112"/>
        <v>-1.5967390494787612E-4</v>
      </c>
      <c r="BK216" s="3">
        <f t="shared" si="113"/>
        <v>2.4216610546801964E-3</v>
      </c>
    </row>
    <row r="217" spans="1:63" x14ac:dyDescent="0.2">
      <c r="A217" s="3" t="s">
        <v>224</v>
      </c>
      <c r="B217" s="3">
        <v>73.25</v>
      </c>
      <c r="C217" s="3">
        <v>80.099999999999994</v>
      </c>
      <c r="D217" s="3">
        <v>15.38</v>
      </c>
      <c r="E217" s="3">
        <v>60.9</v>
      </c>
      <c r="F217" s="3">
        <v>54.75</v>
      </c>
      <c r="G217" s="3">
        <v>165.4</v>
      </c>
      <c r="H217" s="3">
        <v>38.75</v>
      </c>
      <c r="I217" s="3">
        <v>116.1</v>
      </c>
      <c r="J217" s="3">
        <v>11.18</v>
      </c>
      <c r="K217" s="3">
        <v>73.349999999999994</v>
      </c>
      <c r="L217" s="3">
        <v>26848.490234000001</v>
      </c>
      <c r="N217" s="3">
        <f t="shared" si="94"/>
        <v>-6.1622926945368306E-3</v>
      </c>
      <c r="O217" s="3">
        <f t="shared" si="95"/>
        <v>-1.8744147943507983E-3</v>
      </c>
      <c r="P217" s="3">
        <f t="shared" si="96"/>
        <v>-1.0457611643958309E-2</v>
      </c>
      <c r="Q217" s="3">
        <f t="shared" si="97"/>
        <v>0</v>
      </c>
      <c r="R217" s="3">
        <f t="shared" si="98"/>
        <v>-5.494519317640556E-3</v>
      </c>
      <c r="S217" s="3">
        <f t="shared" si="99"/>
        <v>-1.2777782613171418E-2</v>
      </c>
      <c r="T217" s="3">
        <f t="shared" si="100"/>
        <v>-1.9544596072970322E-2</v>
      </c>
      <c r="U217" s="3">
        <f t="shared" si="101"/>
        <v>-8.6505729760091299E-3</v>
      </c>
      <c r="V217" s="3">
        <f t="shared" si="102"/>
        <v>-1.2601426878004141E-2</v>
      </c>
      <c r="W217" s="3">
        <f t="shared" si="103"/>
        <v>-3.4141378332579464E-3</v>
      </c>
      <c r="X217" s="3">
        <f t="shared" si="104"/>
        <v>-4.8129568265036227E-3</v>
      </c>
      <c r="AZ217" s="3" t="s">
        <v>222</v>
      </c>
      <c r="BA217" s="3">
        <v>212</v>
      </c>
      <c r="BB217" s="3">
        <f t="shared" si="105"/>
        <v>0.95449255816180212</v>
      </c>
      <c r="BC217" s="3">
        <f t="shared" si="106"/>
        <v>0.9564828525494542</v>
      </c>
      <c r="BD217" s="3">
        <f t="shared" si="107"/>
        <v>1.0113157068533787</v>
      </c>
      <c r="BE217" s="3">
        <f t="shared" si="108"/>
        <v>1.0831737644184785</v>
      </c>
      <c r="BF217" s="3">
        <f t="shared" si="109"/>
        <v>0.99989360023390272</v>
      </c>
      <c r="BH217" s="3">
        <f t="shared" si="110"/>
        <v>1.2165867660935567E-2</v>
      </c>
      <c r="BI217" s="3">
        <f t="shared" si="111"/>
        <v>9.7341157267298931E-3</v>
      </c>
      <c r="BJ217" s="3">
        <f t="shared" si="112"/>
        <v>6.0355623246703717E-3</v>
      </c>
      <c r="BK217" s="3">
        <f t="shared" si="113"/>
        <v>-2.2241779339237377E-3</v>
      </c>
    </row>
    <row r="218" spans="1:63" x14ac:dyDescent="0.2">
      <c r="A218" s="3" t="s">
        <v>225</v>
      </c>
      <c r="B218" s="3">
        <v>72.8</v>
      </c>
      <c r="C218" s="3">
        <v>79.95</v>
      </c>
      <c r="D218" s="3">
        <v>15.22</v>
      </c>
      <c r="E218" s="3">
        <v>60.9</v>
      </c>
      <c r="F218" s="3">
        <v>54.45</v>
      </c>
      <c r="G218" s="3">
        <v>163.30000000000001</v>
      </c>
      <c r="H218" s="3">
        <v>38</v>
      </c>
      <c r="I218" s="3">
        <v>115.1</v>
      </c>
      <c r="J218" s="3">
        <v>11.04</v>
      </c>
      <c r="K218" s="3">
        <v>73.099999999999994</v>
      </c>
      <c r="L218" s="3">
        <v>26719.580077999999</v>
      </c>
      <c r="N218" s="3">
        <f t="shared" si="94"/>
        <v>1.3726838119723084E-3</v>
      </c>
      <c r="O218" s="3">
        <f t="shared" si="95"/>
        <v>-1.251564618941714E-3</v>
      </c>
      <c r="P218" s="3">
        <f t="shared" si="96"/>
        <v>3.934431304834618E-3</v>
      </c>
      <c r="Q218" s="3">
        <f t="shared" si="97"/>
        <v>4.0966874173298251E-3</v>
      </c>
      <c r="R218" s="3">
        <f t="shared" si="98"/>
        <v>3.6663652435779959E-3</v>
      </c>
      <c r="S218" s="3">
        <f t="shared" si="99"/>
        <v>4.2774278477795136E-3</v>
      </c>
      <c r="T218" s="3">
        <f t="shared" si="100"/>
        <v>-2.6350476380048171E-3</v>
      </c>
      <c r="U218" s="3">
        <f t="shared" si="101"/>
        <v>1.7361115471761224E-3</v>
      </c>
      <c r="V218" s="3">
        <f t="shared" si="102"/>
        <v>-9.0992438551138477E-3</v>
      </c>
      <c r="W218" s="3">
        <f t="shared" si="103"/>
        <v>1.3670542115331585E-3</v>
      </c>
      <c r="X218" s="3">
        <f t="shared" si="104"/>
        <v>2.2825635250711684E-4</v>
      </c>
      <c r="AZ218" s="3" t="s">
        <v>223</v>
      </c>
      <c r="BA218" s="3">
        <v>213</v>
      </c>
      <c r="BB218" s="3">
        <f t="shared" si="105"/>
        <v>0.96617571205984765</v>
      </c>
      <c r="BC218" s="3">
        <f t="shared" si="106"/>
        <v>0.96583882953268474</v>
      </c>
      <c r="BD218" s="3">
        <f t="shared" si="107"/>
        <v>1.0174380230572138</v>
      </c>
      <c r="BE218" s="3">
        <f t="shared" si="108"/>
        <v>1.080767270460504</v>
      </c>
      <c r="BF218" s="3">
        <f t="shared" si="109"/>
        <v>1.0059429879936244</v>
      </c>
      <c r="BH218" s="3">
        <f t="shared" si="110"/>
        <v>1.0915586849513412E-2</v>
      </c>
      <c r="BI218" s="3">
        <f t="shared" si="111"/>
        <v>9.1514298115612409E-3</v>
      </c>
      <c r="BJ218" s="3">
        <f t="shared" si="112"/>
        <v>2.5304137468262593E-3</v>
      </c>
      <c r="BK218" s="3">
        <f t="shared" si="113"/>
        <v>-8.9960096578464571E-3</v>
      </c>
    </row>
    <row r="219" spans="1:63" x14ac:dyDescent="0.2">
      <c r="A219" s="3" t="s">
        <v>226</v>
      </c>
      <c r="B219" s="3">
        <v>72.900000000000006</v>
      </c>
      <c r="C219" s="3">
        <v>79.849999999999994</v>
      </c>
      <c r="D219" s="3">
        <v>15.28</v>
      </c>
      <c r="E219" s="3">
        <v>61.15</v>
      </c>
      <c r="F219" s="3">
        <v>54.65</v>
      </c>
      <c r="G219" s="3">
        <v>164</v>
      </c>
      <c r="H219" s="3">
        <v>37.9</v>
      </c>
      <c r="I219" s="3">
        <v>115.3</v>
      </c>
      <c r="J219" s="3">
        <v>10.94</v>
      </c>
      <c r="K219" s="3">
        <v>73.2</v>
      </c>
      <c r="L219" s="3">
        <v>26725.679688</v>
      </c>
      <c r="N219" s="3">
        <f t="shared" si="94"/>
        <v>6.1538655743786919E-3</v>
      </c>
      <c r="O219" s="3">
        <f t="shared" si="95"/>
        <v>1.8767600128599682E-3</v>
      </c>
      <c r="P219" s="3">
        <f t="shared" si="96"/>
        <v>1.3080446600155504E-3</v>
      </c>
      <c r="Q219" s="3">
        <f t="shared" si="97"/>
        <v>4.0799730199152506E-3</v>
      </c>
      <c r="R219" s="3">
        <f t="shared" si="98"/>
        <v>2.7409793314223663E-3</v>
      </c>
      <c r="S219" s="3">
        <f t="shared" si="99"/>
        <v>7.2904332626793078E-3</v>
      </c>
      <c r="T219" s="3">
        <f t="shared" si="100"/>
        <v>-1.3201322049232189E-3</v>
      </c>
      <c r="U219" s="3">
        <f t="shared" si="101"/>
        <v>8.6692679898625613E-4</v>
      </c>
      <c r="V219" s="3">
        <f t="shared" si="102"/>
        <v>3.649639087549339E-3</v>
      </c>
      <c r="W219" s="3">
        <f t="shared" si="103"/>
        <v>-1.3670542115331585E-3</v>
      </c>
      <c r="X219" s="3">
        <f t="shared" si="104"/>
        <v>2.261911113524917E-3</v>
      </c>
      <c r="AZ219" s="3" t="s">
        <v>224</v>
      </c>
      <c r="BA219" s="3">
        <v>214</v>
      </c>
      <c r="BB219" s="3">
        <f t="shared" si="105"/>
        <v>0.97677985689855884</v>
      </c>
      <c r="BC219" s="3">
        <f t="shared" si="106"/>
        <v>0.97471820330379499</v>
      </c>
      <c r="BD219" s="3">
        <f t="shared" si="107"/>
        <v>1.0200158222911413</v>
      </c>
      <c r="BE219" s="3">
        <f t="shared" si="108"/>
        <v>1.0710882790826963</v>
      </c>
      <c r="BF219" s="3">
        <f t="shared" si="109"/>
        <v>1.0128925739292822</v>
      </c>
      <c r="BH219" s="3">
        <f t="shared" si="110"/>
        <v>-8.3655076167919694E-3</v>
      </c>
      <c r="BI219" s="3">
        <f t="shared" si="111"/>
        <v>-7.6065026191992728E-3</v>
      </c>
      <c r="BJ219" s="3">
        <f t="shared" si="112"/>
        <v>-7.1785455861855477E-3</v>
      </c>
      <c r="BK219" s="3">
        <f t="shared" si="113"/>
        <v>-4.9105024175958439E-3</v>
      </c>
    </row>
    <row r="220" spans="1:63" x14ac:dyDescent="0.2">
      <c r="A220" s="3" t="s">
        <v>227</v>
      </c>
      <c r="B220" s="3">
        <v>73.349999999999994</v>
      </c>
      <c r="C220" s="3">
        <v>80</v>
      </c>
      <c r="D220" s="3">
        <v>15.3</v>
      </c>
      <c r="E220" s="3">
        <v>61.4</v>
      </c>
      <c r="F220" s="3">
        <v>54.8</v>
      </c>
      <c r="G220" s="3">
        <v>165.2</v>
      </c>
      <c r="H220" s="3">
        <v>37.85</v>
      </c>
      <c r="I220" s="3">
        <v>115.4</v>
      </c>
      <c r="J220" s="3">
        <v>10.98</v>
      </c>
      <c r="K220" s="3">
        <v>73.099999999999994</v>
      </c>
      <c r="L220" s="3">
        <v>26786.199218999998</v>
      </c>
      <c r="N220" s="3">
        <f t="shared" si="94"/>
        <v>-1.580245869021013E-2</v>
      </c>
      <c r="O220" s="3">
        <f t="shared" si="95"/>
        <v>-3.1298930089276311E-3</v>
      </c>
      <c r="P220" s="3">
        <f t="shared" si="96"/>
        <v>-5.2424759648501684E-3</v>
      </c>
      <c r="Q220" s="3">
        <f t="shared" si="97"/>
        <v>-3.2626456348161526E-3</v>
      </c>
      <c r="R220" s="3">
        <f t="shared" si="98"/>
        <v>-1.1932220506970292E-2</v>
      </c>
      <c r="S220" s="3">
        <f t="shared" si="99"/>
        <v>1.8143337302394258E-3</v>
      </c>
      <c r="T220" s="3">
        <f t="shared" si="100"/>
        <v>-6.6269294876089013E-3</v>
      </c>
      <c r="U220" s="3">
        <f t="shared" si="101"/>
        <v>-4.3421692192895378E-3</v>
      </c>
      <c r="V220" s="3">
        <f t="shared" si="102"/>
        <v>-3.649639087549339E-3</v>
      </c>
      <c r="W220" s="3">
        <f t="shared" si="103"/>
        <v>-2.7397277411207455E-3</v>
      </c>
      <c r="X220" s="3">
        <f t="shared" si="104"/>
        <v>-8.2271016486217263E-3</v>
      </c>
      <c r="AZ220" s="3" t="s">
        <v>225</v>
      </c>
      <c r="BA220" s="3">
        <v>215</v>
      </c>
      <c r="BB220" s="3">
        <f t="shared" si="105"/>
        <v>0.96864268082436678</v>
      </c>
      <c r="BC220" s="3">
        <f t="shared" si="106"/>
        <v>0.96733213342974922</v>
      </c>
      <c r="BD220" s="3">
        <f t="shared" si="107"/>
        <v>1.0127198109184958</v>
      </c>
      <c r="BE220" s="3">
        <f t="shared" si="108"/>
        <v>1.0658415899813556</v>
      </c>
      <c r="BF220" s="3">
        <f t="shared" si="109"/>
        <v>1.0080292785045317</v>
      </c>
      <c r="BH220" s="3">
        <f t="shared" si="110"/>
        <v>6.5430235719335719E-4</v>
      </c>
      <c r="BI220" s="3">
        <f t="shared" si="111"/>
        <v>1.2839013667478444E-3</v>
      </c>
      <c r="BJ220" s="3">
        <f t="shared" si="112"/>
        <v>1.7488783056659202E-3</v>
      </c>
      <c r="BK220" s="3">
        <f t="shared" si="113"/>
        <v>3.4005962492051345E-3</v>
      </c>
    </row>
    <row r="221" spans="1:63" x14ac:dyDescent="0.2">
      <c r="A221" s="3" t="s">
        <v>228</v>
      </c>
      <c r="B221" s="3">
        <v>72.2</v>
      </c>
      <c r="C221" s="3">
        <v>79.75</v>
      </c>
      <c r="D221" s="3">
        <v>15.22</v>
      </c>
      <c r="E221" s="3">
        <v>61.2</v>
      </c>
      <c r="F221" s="3">
        <v>54.15</v>
      </c>
      <c r="G221" s="3">
        <v>165.5</v>
      </c>
      <c r="H221" s="3">
        <v>37.6</v>
      </c>
      <c r="I221" s="3">
        <v>114.9</v>
      </c>
      <c r="J221" s="3">
        <v>10.94</v>
      </c>
      <c r="K221" s="3">
        <v>72.900000000000006</v>
      </c>
      <c r="L221" s="3">
        <v>26566.730468999998</v>
      </c>
      <c r="N221" s="3">
        <f t="shared" si="94"/>
        <v>8.2759093038591303E-3</v>
      </c>
      <c r="O221" s="3">
        <f t="shared" si="95"/>
        <v>1.4317082399492698E-2</v>
      </c>
      <c r="P221" s="3">
        <f t="shared" si="96"/>
        <v>1.305501570164358E-2</v>
      </c>
      <c r="Q221" s="3">
        <f t="shared" si="97"/>
        <v>1.056490932021692E-2</v>
      </c>
      <c r="R221" s="3">
        <f t="shared" si="98"/>
        <v>3.6866401202186871E-3</v>
      </c>
      <c r="S221" s="3">
        <f t="shared" si="99"/>
        <v>1.260899323086484E-2</v>
      </c>
      <c r="T221" s="3">
        <f t="shared" si="100"/>
        <v>1.0582109330536937E-2</v>
      </c>
      <c r="U221" s="3">
        <f t="shared" si="101"/>
        <v>8.6994350854041613E-4</v>
      </c>
      <c r="V221" s="3">
        <f t="shared" si="102"/>
        <v>1.6319491828601151E-2</v>
      </c>
      <c r="W221" s="3">
        <f t="shared" si="103"/>
        <v>1.7675511158722124E-2</v>
      </c>
      <c r="X221" s="3">
        <f t="shared" si="104"/>
        <v>8.6656641911222465E-3</v>
      </c>
      <c r="AZ221" s="3" t="s">
        <v>226</v>
      </c>
      <c r="BA221" s="3">
        <v>216</v>
      </c>
      <c r="BB221" s="3">
        <f t="shared" si="105"/>
        <v>0.96927667340250911</v>
      </c>
      <c r="BC221" s="3">
        <f t="shared" si="106"/>
        <v>0.96857489009573616</v>
      </c>
      <c r="BD221" s="3">
        <f t="shared" si="107"/>
        <v>1.0144924842686907</v>
      </c>
      <c r="BE221" s="3">
        <f t="shared" si="108"/>
        <v>1.0694722566113868</v>
      </c>
      <c r="BF221" s="3">
        <f t="shared" si="109"/>
        <v>1.0082593938525093</v>
      </c>
      <c r="BH221" s="3">
        <f t="shared" si="110"/>
        <v>2.4751834082323565E-3</v>
      </c>
      <c r="BI221" s="3">
        <f t="shared" si="111"/>
        <v>2.6011361919139539E-3</v>
      </c>
      <c r="BJ221" s="3">
        <f t="shared" si="112"/>
        <v>2.3544606175538545E-3</v>
      </c>
      <c r="BK221" s="3">
        <f t="shared" si="113"/>
        <v>2.3516057382990396E-3</v>
      </c>
    </row>
    <row r="222" spans="1:63" x14ac:dyDescent="0.2">
      <c r="A222" s="3" t="s">
        <v>229</v>
      </c>
      <c r="B222" s="3">
        <v>72.8</v>
      </c>
      <c r="C222" s="3">
        <v>80.900000000000006</v>
      </c>
      <c r="D222" s="3">
        <v>15.42</v>
      </c>
      <c r="E222" s="3">
        <v>61.85</v>
      </c>
      <c r="F222" s="3">
        <v>54.35</v>
      </c>
      <c r="G222" s="3">
        <v>167.6</v>
      </c>
      <c r="H222" s="3">
        <v>38</v>
      </c>
      <c r="I222" s="3">
        <v>115</v>
      </c>
      <c r="J222" s="3">
        <v>11.12</v>
      </c>
      <c r="K222" s="3">
        <v>74.2</v>
      </c>
      <c r="L222" s="3">
        <v>26797.949218999998</v>
      </c>
      <c r="N222" s="3">
        <f t="shared" si="94"/>
        <v>-8.2759093038591303E-3</v>
      </c>
      <c r="O222" s="3">
        <f t="shared" si="95"/>
        <v>7.3891961823706609E-3</v>
      </c>
      <c r="P222" s="3">
        <f t="shared" si="96"/>
        <v>-7.8125397367934113E-3</v>
      </c>
      <c r="Q222" s="3">
        <f t="shared" si="97"/>
        <v>-3.2388692281442033E-3</v>
      </c>
      <c r="R222" s="3">
        <f t="shared" si="98"/>
        <v>7.3327551293917992E-3</v>
      </c>
      <c r="S222" s="3">
        <f t="shared" si="99"/>
        <v>-2.3894873973810959E-3</v>
      </c>
      <c r="T222" s="3">
        <f t="shared" si="100"/>
        <v>1.3149245813091071E-3</v>
      </c>
      <c r="U222" s="3">
        <f t="shared" si="101"/>
        <v>-1.7406444777838814E-3</v>
      </c>
      <c r="V222" s="3">
        <f t="shared" si="102"/>
        <v>5.3811789045168368E-3</v>
      </c>
      <c r="W222" s="3">
        <f t="shared" si="103"/>
        <v>-1.1521645584343432E-2</v>
      </c>
      <c r="X222" s="3">
        <f t="shared" si="104"/>
        <v>-4.8838688350141268E-3</v>
      </c>
      <c r="AZ222" s="3" t="s">
        <v>227</v>
      </c>
      <c r="BA222" s="3">
        <v>217</v>
      </c>
      <c r="BB222" s="3">
        <f t="shared" si="105"/>
        <v>0.97167878254646733</v>
      </c>
      <c r="BC222" s="3">
        <f t="shared" si="106"/>
        <v>0.97109756478481146</v>
      </c>
      <c r="BD222" s="3">
        <f t="shared" si="107"/>
        <v>1.0168838809896834</v>
      </c>
      <c r="BE222" s="3">
        <f t="shared" si="108"/>
        <v>1.0719901931436253</v>
      </c>
      <c r="BF222" s="3">
        <f t="shared" si="109"/>
        <v>1.0105425681760305</v>
      </c>
      <c r="BH222" s="3">
        <f t="shared" si="110"/>
        <v>-5.528004235162285E-3</v>
      </c>
      <c r="BI222" s="3">
        <f t="shared" si="111"/>
        <v>-5.9247143505826716E-3</v>
      </c>
      <c r="BJ222" s="3">
        <f t="shared" si="112"/>
        <v>-8.5364343714592669E-3</v>
      </c>
      <c r="BK222" s="3">
        <f t="shared" si="113"/>
        <v>-1.310201085306302E-2</v>
      </c>
    </row>
    <row r="223" spans="1:63" x14ac:dyDescent="0.2">
      <c r="A223" s="3" t="s">
        <v>230</v>
      </c>
      <c r="B223" s="3">
        <v>72.2</v>
      </c>
      <c r="C223" s="3">
        <v>81.5</v>
      </c>
      <c r="D223" s="3">
        <v>15.3</v>
      </c>
      <c r="E223" s="3">
        <v>61.65</v>
      </c>
      <c r="F223" s="3">
        <v>54.75</v>
      </c>
      <c r="G223" s="3">
        <v>167.2</v>
      </c>
      <c r="H223" s="3">
        <v>38.049999999999997</v>
      </c>
      <c r="I223" s="3">
        <v>114.8</v>
      </c>
      <c r="J223" s="3">
        <v>11.18</v>
      </c>
      <c r="K223" s="3">
        <v>73.349999999999994</v>
      </c>
      <c r="L223" s="3">
        <v>26667.390625</v>
      </c>
      <c r="N223" s="3">
        <f t="shared" si="94"/>
        <v>-4.8594333737472795E-3</v>
      </c>
      <c r="O223" s="3">
        <f t="shared" si="95"/>
        <v>0</v>
      </c>
      <c r="P223" s="3">
        <f t="shared" si="96"/>
        <v>3.9138993211360606E-3</v>
      </c>
      <c r="Q223" s="3">
        <f t="shared" si="97"/>
        <v>-2.297065723958891E-2</v>
      </c>
      <c r="R223" s="3">
        <f t="shared" si="98"/>
        <v>1.1802225056627869E-2</v>
      </c>
      <c r="S223" s="3">
        <f t="shared" si="99"/>
        <v>-7.2029122940575618E-3</v>
      </c>
      <c r="T223" s="3">
        <f t="shared" si="100"/>
        <v>7.8534435055703788E-3</v>
      </c>
      <c r="U223" s="3">
        <f t="shared" si="101"/>
        <v>1.7406444777838814E-3</v>
      </c>
      <c r="V223" s="3">
        <f t="shared" si="102"/>
        <v>-7.1813594086647115E-3</v>
      </c>
      <c r="W223" s="3">
        <f t="shared" si="103"/>
        <v>1.8906707681805024E-2</v>
      </c>
      <c r="X223" s="3">
        <f t="shared" si="104"/>
        <v>8.359823974389613E-3</v>
      </c>
      <c r="AZ223" s="3" t="s">
        <v>228</v>
      </c>
      <c r="BA223" s="3">
        <v>218</v>
      </c>
      <c r="BB223" s="3">
        <f t="shared" si="105"/>
        <v>0.96632215748535477</v>
      </c>
      <c r="BC223" s="3">
        <f t="shared" si="106"/>
        <v>0.9653610993466889</v>
      </c>
      <c r="BD223" s="3">
        <f t="shared" si="107"/>
        <v>1.0082402638004684</v>
      </c>
      <c r="BE223" s="3">
        <f t="shared" si="108"/>
        <v>1.0580365758304693</v>
      </c>
      <c r="BF223" s="3">
        <f t="shared" si="109"/>
        <v>1.0022628375413809</v>
      </c>
      <c r="BH223" s="3">
        <f t="shared" si="110"/>
        <v>1.0675196312571213E-2</v>
      </c>
      <c r="BI223" s="3">
        <f t="shared" si="111"/>
        <v>1.038130548482025E-2</v>
      </c>
      <c r="BJ223" s="3">
        <f t="shared" si="112"/>
        <v>8.7113214347309589E-3</v>
      </c>
      <c r="BK223" s="3">
        <f t="shared" si="113"/>
        <v>5.8728264478739023E-3</v>
      </c>
    </row>
    <row r="224" spans="1:63" x14ac:dyDescent="0.2">
      <c r="A224" s="3" t="s">
        <v>231</v>
      </c>
      <c r="B224" s="3">
        <v>71.849999999999994</v>
      </c>
      <c r="C224" s="3">
        <v>81.5</v>
      </c>
      <c r="D224" s="3">
        <v>15.36</v>
      </c>
      <c r="E224" s="3">
        <v>60.25</v>
      </c>
      <c r="F224" s="3">
        <v>55.4</v>
      </c>
      <c r="G224" s="3">
        <v>166</v>
      </c>
      <c r="H224" s="3">
        <v>38.35</v>
      </c>
      <c r="I224" s="3">
        <v>115</v>
      </c>
      <c r="J224" s="3">
        <v>11.1</v>
      </c>
      <c r="K224" s="3">
        <v>74.75</v>
      </c>
      <c r="L224" s="3">
        <v>26891.259765999999</v>
      </c>
      <c r="N224" s="3">
        <f t="shared" si="94"/>
        <v>6.9565220196743383E-4</v>
      </c>
      <c r="O224" s="3">
        <f t="shared" si="95"/>
        <v>6.1330882020627087E-4</v>
      </c>
      <c r="P224" s="3">
        <f t="shared" si="96"/>
        <v>-1.3029317804158502E-3</v>
      </c>
      <c r="Q224" s="3">
        <f t="shared" si="97"/>
        <v>-1.3366949233972747E-2</v>
      </c>
      <c r="R224" s="3">
        <f t="shared" si="98"/>
        <v>0</v>
      </c>
      <c r="S224" s="3">
        <f t="shared" si="99"/>
        <v>-1.0902591338215473E-2</v>
      </c>
      <c r="T224" s="3">
        <f t="shared" si="100"/>
        <v>-1.3046316266649427E-3</v>
      </c>
      <c r="U224" s="3">
        <f t="shared" si="101"/>
        <v>6.9324367756449234E-3</v>
      </c>
      <c r="V224" s="3">
        <f t="shared" si="102"/>
        <v>1.8001805041478747E-3</v>
      </c>
      <c r="W224" s="3">
        <f t="shared" si="103"/>
        <v>-1.6183765223349411E-2</v>
      </c>
      <c r="X224" s="3">
        <f t="shared" si="104"/>
        <v>-3.8935911916961885E-3</v>
      </c>
      <c r="AZ224" s="3" t="s">
        <v>229</v>
      </c>
      <c r="BA224" s="3">
        <v>219</v>
      </c>
      <c r="BB224" s="3">
        <f t="shared" si="105"/>
        <v>0.97669309361830281</v>
      </c>
      <c r="BC224" s="3">
        <f t="shared" si="106"/>
        <v>0.97543500750800316</v>
      </c>
      <c r="BD224" s="3">
        <f t="shared" si="107"/>
        <v>1.0170617363771679</v>
      </c>
      <c r="BE224" s="3">
        <f t="shared" si="108"/>
        <v>1.0642685226752597</v>
      </c>
      <c r="BF224" s="3">
        <f t="shared" si="109"/>
        <v>1.010985851490658</v>
      </c>
      <c r="BH224" s="3">
        <f t="shared" si="110"/>
        <v>-1.1217226412380717E-3</v>
      </c>
      <c r="BI224" s="3">
        <f t="shared" si="111"/>
        <v>-8.8870416078400821E-4</v>
      </c>
      <c r="BJ224" s="3">
        <f t="shared" si="112"/>
        <v>3.0992720529654863E-3</v>
      </c>
      <c r="BK224" s="3">
        <f t="shared" si="113"/>
        <v>8.3509946439521837E-3</v>
      </c>
    </row>
    <row r="225" spans="1:63" x14ac:dyDescent="0.2">
      <c r="A225" s="3" t="s">
        <v>232</v>
      </c>
      <c r="B225" s="3">
        <v>71.900000000000006</v>
      </c>
      <c r="C225" s="3">
        <v>81.55</v>
      </c>
      <c r="D225" s="3">
        <v>15.34</v>
      </c>
      <c r="E225" s="3">
        <v>59.45</v>
      </c>
      <c r="F225" s="3">
        <v>55.4</v>
      </c>
      <c r="G225" s="3">
        <v>164.2</v>
      </c>
      <c r="H225" s="3">
        <v>38.299999999999997</v>
      </c>
      <c r="I225" s="3">
        <v>115.8</v>
      </c>
      <c r="J225" s="3">
        <v>11.12</v>
      </c>
      <c r="K225" s="3">
        <v>73.55</v>
      </c>
      <c r="L225" s="3">
        <v>26786.759765999999</v>
      </c>
      <c r="N225" s="3">
        <f t="shared" si="94"/>
        <v>0</v>
      </c>
      <c r="O225" s="3">
        <f t="shared" si="95"/>
        <v>2.4494807103394578E-3</v>
      </c>
      <c r="P225" s="3">
        <f t="shared" si="96"/>
        <v>-6.5402456806098463E-3</v>
      </c>
      <c r="Q225" s="3">
        <f t="shared" si="97"/>
        <v>-4.2140812468307587E-3</v>
      </c>
      <c r="R225" s="3">
        <f t="shared" si="98"/>
        <v>8.0899317619715916E-3</v>
      </c>
      <c r="S225" s="3">
        <f t="shared" si="99"/>
        <v>-8.562743449887833E-3</v>
      </c>
      <c r="T225" s="3">
        <f t="shared" si="100"/>
        <v>9.0968788468308581E-3</v>
      </c>
      <c r="U225" s="3">
        <f t="shared" si="101"/>
        <v>6.8847087774965843E-3</v>
      </c>
      <c r="V225" s="3">
        <f t="shared" si="102"/>
        <v>-3.6036075032983561E-3</v>
      </c>
      <c r="W225" s="3">
        <f t="shared" si="103"/>
        <v>-1.360544427559951E-3</v>
      </c>
      <c r="X225" s="3">
        <f t="shared" si="104"/>
        <v>-4.4542214434208915E-3</v>
      </c>
      <c r="AZ225" s="3" t="s">
        <v>230</v>
      </c>
      <c r="BA225" s="3">
        <v>220</v>
      </c>
      <c r="BB225" s="3">
        <f t="shared" si="105"/>
        <v>0.97559812909970889</v>
      </c>
      <c r="BC225" s="3">
        <f t="shared" si="106"/>
        <v>0.9745685194410606</v>
      </c>
      <c r="BD225" s="3">
        <f t="shared" si="107"/>
        <v>1.0202187771298739</v>
      </c>
      <c r="BE225" s="3">
        <f t="shared" si="108"/>
        <v>1.0731934374978795</v>
      </c>
      <c r="BF225" s="3">
        <f t="shared" si="109"/>
        <v>1.0060603666990484</v>
      </c>
      <c r="BH225" s="3">
        <f t="shared" si="110"/>
        <v>3.2589845820147831E-4</v>
      </c>
      <c r="BI225" s="3">
        <f t="shared" si="111"/>
        <v>2.9560708141895473E-4</v>
      </c>
      <c r="BJ225" s="3">
        <f t="shared" si="112"/>
        <v>6.7871165941282563E-3</v>
      </c>
      <c r="BK225" s="3">
        <f t="shared" si="113"/>
        <v>1.5170569998638278E-2</v>
      </c>
    </row>
    <row r="226" spans="1:63" x14ac:dyDescent="0.2">
      <c r="A226" s="3" t="s">
        <v>233</v>
      </c>
      <c r="B226" s="3">
        <v>71.900000000000006</v>
      </c>
      <c r="C226" s="3">
        <v>81.75</v>
      </c>
      <c r="D226" s="3">
        <v>15.24</v>
      </c>
      <c r="E226" s="3">
        <v>59.2</v>
      </c>
      <c r="F226" s="3">
        <v>55.85</v>
      </c>
      <c r="G226" s="3">
        <v>162.80000000000001</v>
      </c>
      <c r="H226" s="3">
        <v>38.65</v>
      </c>
      <c r="I226" s="3">
        <v>116.6</v>
      </c>
      <c r="J226" s="3">
        <v>11.08</v>
      </c>
      <c r="K226" s="3">
        <v>73.45</v>
      </c>
      <c r="L226" s="3">
        <v>26667.710938</v>
      </c>
      <c r="N226" s="3">
        <f t="shared" si="94"/>
        <v>8.310297133627742E-3</v>
      </c>
      <c r="O226" s="3">
        <f t="shared" si="95"/>
        <v>-4.9049761123161062E-3</v>
      </c>
      <c r="P226" s="3">
        <f t="shared" si="96"/>
        <v>-1.3131978249605325E-3</v>
      </c>
      <c r="Q226" s="3">
        <f t="shared" si="97"/>
        <v>5.054770661623742E-3</v>
      </c>
      <c r="R226" s="3">
        <f t="shared" si="98"/>
        <v>1.7889092427250119E-3</v>
      </c>
      <c r="S226" s="3">
        <f t="shared" si="99"/>
        <v>6.1237178505288981E-3</v>
      </c>
      <c r="T226" s="3">
        <f t="shared" si="100"/>
        <v>1.5404669194986287E-2</v>
      </c>
      <c r="U226" s="3">
        <f t="shared" si="101"/>
        <v>1.9533529780344949E-2</v>
      </c>
      <c r="V226" s="3">
        <f t="shared" si="102"/>
        <v>1.4337163146406873E-2</v>
      </c>
      <c r="W226" s="3">
        <f t="shared" si="103"/>
        <v>1.6875189518884781E-2</v>
      </c>
      <c r="X226" s="3">
        <f t="shared" si="104"/>
        <v>8.9225902491048004E-3</v>
      </c>
      <c r="AZ226" s="3" t="s">
        <v>231</v>
      </c>
      <c r="BA226" s="3">
        <v>221</v>
      </c>
      <c r="BB226" s="3">
        <f t="shared" si="105"/>
        <v>0.9759161268404789</v>
      </c>
      <c r="BC226" s="3">
        <f t="shared" si="106"/>
        <v>0.97485665138155819</v>
      </c>
      <c r="BD226" s="3">
        <f t="shared" si="107"/>
        <v>1.0271666723380197</v>
      </c>
      <c r="BE226" s="3">
        <f t="shared" si="108"/>
        <v>1.0895985162318242</v>
      </c>
      <c r="BF226" s="3">
        <f t="shared" si="109"/>
        <v>1.0145061075386459</v>
      </c>
      <c r="BH226" s="3">
        <f t="shared" si="110"/>
        <v>-2.9033492112466169E-3</v>
      </c>
      <c r="BI226" s="3">
        <f t="shared" si="111"/>
        <v>-3.1458111542349322E-3</v>
      </c>
      <c r="BJ226" s="3">
        <f t="shared" si="112"/>
        <v>1.3979909627265599E-3</v>
      </c>
      <c r="BK226" s="3">
        <f t="shared" si="113"/>
        <v>6.3299491138537334E-3</v>
      </c>
    </row>
    <row r="227" spans="1:63" x14ac:dyDescent="0.2">
      <c r="A227" s="3" t="s">
        <v>234</v>
      </c>
      <c r="B227" s="3">
        <v>72.5</v>
      </c>
      <c r="C227" s="3">
        <v>81.349999999999994</v>
      </c>
      <c r="D227" s="3">
        <v>15.22</v>
      </c>
      <c r="E227" s="3">
        <v>59.5</v>
      </c>
      <c r="F227" s="3">
        <v>55.95</v>
      </c>
      <c r="G227" s="3">
        <v>163.80000000000001</v>
      </c>
      <c r="H227" s="3">
        <v>39.25</v>
      </c>
      <c r="I227" s="3">
        <v>118.9</v>
      </c>
      <c r="J227" s="3">
        <v>11.24</v>
      </c>
      <c r="K227" s="3">
        <v>74.7</v>
      </c>
      <c r="L227" s="3">
        <v>26906.720702999999</v>
      </c>
      <c r="N227" s="3">
        <f t="shared" si="94"/>
        <v>4.1293933420112339E-3</v>
      </c>
      <c r="O227" s="3">
        <f t="shared" si="95"/>
        <v>1.3431215340561131E-2</v>
      </c>
      <c r="P227" s="3">
        <f t="shared" si="96"/>
        <v>1.305501570164358E-2</v>
      </c>
      <c r="Q227" s="3">
        <f t="shared" si="97"/>
        <v>1.6792615197198657E-3</v>
      </c>
      <c r="R227" s="3">
        <f t="shared" si="98"/>
        <v>5.3476063265947005E-3</v>
      </c>
      <c r="S227" s="3">
        <f t="shared" si="99"/>
        <v>7.9051795071132247E-3</v>
      </c>
      <c r="T227" s="3">
        <f t="shared" si="100"/>
        <v>3.8143720754706401E-3</v>
      </c>
      <c r="U227" s="3">
        <f t="shared" si="101"/>
        <v>-2.5263171331113554E-3</v>
      </c>
      <c r="V227" s="3">
        <f t="shared" si="102"/>
        <v>-1.7809443709944084E-3</v>
      </c>
      <c r="W227" s="3">
        <f t="shared" si="103"/>
        <v>8.6638329337329623E-3</v>
      </c>
      <c r="X227" s="3">
        <f t="shared" si="104"/>
        <v>7.185667475283708E-3</v>
      </c>
      <c r="AZ227" s="3" t="s">
        <v>232</v>
      </c>
      <c r="BA227" s="3">
        <v>222</v>
      </c>
      <c r="BB227" s="3">
        <f t="shared" si="105"/>
        <v>0.97308681075714465</v>
      </c>
      <c r="BC227" s="3">
        <f t="shared" si="106"/>
        <v>0.97179475505275015</v>
      </c>
      <c r="BD227" s="3">
        <f t="shared" si="107"/>
        <v>1.0286036462674131</v>
      </c>
      <c r="BE227" s="3">
        <f t="shared" si="108"/>
        <v>1.0965174946822567</v>
      </c>
      <c r="BF227" s="3">
        <f t="shared" si="109"/>
        <v>1.0105637155064275</v>
      </c>
      <c r="BH227" s="3">
        <f t="shared" si="110"/>
        <v>4.2569343694918646E-4</v>
      </c>
      <c r="BI227" s="3">
        <f t="shared" si="111"/>
        <v>4.7192864709429821E-4</v>
      </c>
      <c r="BJ227" s="3">
        <f t="shared" si="112"/>
        <v>3.0711413723776074E-3</v>
      </c>
      <c r="BK227" s="3">
        <f t="shared" si="113"/>
        <v>6.6022187971517543E-3</v>
      </c>
    </row>
    <row r="228" spans="1:63" x14ac:dyDescent="0.2">
      <c r="A228" s="3" t="s">
        <v>235</v>
      </c>
      <c r="B228" s="3">
        <v>72.8</v>
      </c>
      <c r="C228" s="3">
        <v>82.45</v>
      </c>
      <c r="D228" s="3">
        <v>15.42</v>
      </c>
      <c r="E228" s="3">
        <v>59.6</v>
      </c>
      <c r="F228" s="3">
        <v>56.25</v>
      </c>
      <c r="G228" s="3">
        <v>165.1</v>
      </c>
      <c r="H228" s="3">
        <v>39.4</v>
      </c>
      <c r="I228" s="3">
        <v>118.6</v>
      </c>
      <c r="J228" s="3">
        <v>11.22</v>
      </c>
      <c r="K228" s="3">
        <v>75.349999999999994</v>
      </c>
      <c r="L228" s="3">
        <v>27100.759765999999</v>
      </c>
      <c r="N228" s="3">
        <f t="shared" si="94"/>
        <v>1.0249491844806613E-2</v>
      </c>
      <c r="O228" s="3">
        <f t="shared" si="95"/>
        <v>1.0256500167189486E-2</v>
      </c>
      <c r="P228" s="3">
        <f t="shared" si="96"/>
        <v>5.1746557900176349E-3</v>
      </c>
      <c r="Q228" s="3">
        <f t="shared" si="97"/>
        <v>8.3542674698575681E-3</v>
      </c>
      <c r="R228" s="3">
        <f t="shared" si="98"/>
        <v>6.2029441246078676E-3</v>
      </c>
      <c r="S228" s="3">
        <f t="shared" si="99"/>
        <v>1.6221443107023781E-2</v>
      </c>
      <c r="T228" s="3">
        <f t="shared" si="100"/>
        <v>6.3251317769688065E-3</v>
      </c>
      <c r="U228" s="3">
        <f t="shared" si="101"/>
        <v>9.2321260003025429E-3</v>
      </c>
      <c r="V228" s="3">
        <f t="shared" si="102"/>
        <v>8.8731726804862632E-3</v>
      </c>
      <c r="W228" s="3">
        <f t="shared" si="103"/>
        <v>7.272759329080003E-3</v>
      </c>
      <c r="X228" s="3">
        <f t="shared" si="104"/>
        <v>1.6342792379305138E-2</v>
      </c>
      <c r="AZ228" s="3" t="s">
        <v>233</v>
      </c>
      <c r="BA228" s="3">
        <v>223</v>
      </c>
      <c r="BB228" s="3">
        <f t="shared" si="105"/>
        <v>0.97350113560749374</v>
      </c>
      <c r="BC228" s="3">
        <f t="shared" si="106"/>
        <v>0.97225348107121634</v>
      </c>
      <c r="BD228" s="3">
        <f t="shared" si="107"/>
        <v>1.0317674892991022</v>
      </c>
      <c r="BE228" s="3">
        <f t="shared" si="108"/>
        <v>1.1037808939889195</v>
      </c>
      <c r="BF228" s="3">
        <f t="shared" si="109"/>
        <v>1.0060724509040151</v>
      </c>
      <c r="BH228" s="3">
        <f t="shared" si="110"/>
        <v>8.1757406511522683E-3</v>
      </c>
      <c r="BI228" s="3">
        <f t="shared" si="111"/>
        <v>6.5976769056586594E-3</v>
      </c>
      <c r="BJ228" s="3">
        <f t="shared" si="112"/>
        <v>5.5533794105723511E-4</v>
      </c>
      <c r="BK228" s="3">
        <f t="shared" si="113"/>
        <v>-8.9420539255234133E-3</v>
      </c>
    </row>
    <row r="229" spans="1:63" x14ac:dyDescent="0.2">
      <c r="A229" s="3" t="s">
        <v>236</v>
      </c>
      <c r="B229" s="3">
        <v>73.55</v>
      </c>
      <c r="C229" s="3">
        <v>83.3</v>
      </c>
      <c r="D229" s="3">
        <v>15.5</v>
      </c>
      <c r="E229" s="3">
        <v>60.1</v>
      </c>
      <c r="F229" s="3">
        <v>56.6</v>
      </c>
      <c r="G229" s="3">
        <v>167.8</v>
      </c>
      <c r="H229" s="3">
        <v>39.65</v>
      </c>
      <c r="I229" s="3">
        <v>119.7</v>
      </c>
      <c r="J229" s="3">
        <v>11.32</v>
      </c>
      <c r="K229" s="3">
        <v>75.900000000000006</v>
      </c>
      <c r="L229" s="3">
        <v>27547.300781000002</v>
      </c>
      <c r="N229" s="3">
        <f t="shared" si="94"/>
        <v>6.7750936663610872E-3</v>
      </c>
      <c r="O229" s="3">
        <f t="shared" si="95"/>
        <v>-6.0042031224405434E-4</v>
      </c>
      <c r="P229" s="3">
        <f t="shared" si="96"/>
        <v>-3.878479328570883E-3</v>
      </c>
      <c r="Q229" s="3">
        <f t="shared" si="97"/>
        <v>0</v>
      </c>
      <c r="R229" s="3">
        <f t="shared" si="98"/>
        <v>-1.7683470567417814E-3</v>
      </c>
      <c r="S229" s="3">
        <f t="shared" si="99"/>
        <v>-2.3866359777313662E-3</v>
      </c>
      <c r="T229" s="3">
        <f t="shared" si="100"/>
        <v>1.2531492311913972E-2</v>
      </c>
      <c r="U229" s="3">
        <f t="shared" si="101"/>
        <v>6.6611403667815594E-3</v>
      </c>
      <c r="V229" s="3">
        <f t="shared" si="102"/>
        <v>1.4035318116383699E-2</v>
      </c>
      <c r="W229" s="3">
        <f t="shared" si="103"/>
        <v>2.6315804660557163E-3</v>
      </c>
      <c r="X229" s="3">
        <f t="shared" si="104"/>
        <v>4.928414182394647E-3</v>
      </c>
      <c r="AZ229" s="3" t="s">
        <v>234</v>
      </c>
      <c r="BA229" s="3">
        <v>224</v>
      </c>
      <c r="BB229" s="3">
        <f t="shared" si="105"/>
        <v>0.98149285300458289</v>
      </c>
      <c r="BC229" s="3">
        <f t="shared" si="106"/>
        <v>0.97868930280034905</v>
      </c>
      <c r="BD229" s="3">
        <f t="shared" si="107"/>
        <v>1.0323406280603795</v>
      </c>
      <c r="BE229" s="3">
        <f t="shared" si="108"/>
        <v>1.093954823812169</v>
      </c>
      <c r="BF229" s="3">
        <f t="shared" si="109"/>
        <v>1.0150893905514633</v>
      </c>
      <c r="BH229" s="3">
        <f t="shared" si="110"/>
        <v>5.2581082242003536E-3</v>
      </c>
      <c r="BI229" s="3">
        <f t="shared" si="111"/>
        <v>5.9026951084947508E-3</v>
      </c>
      <c r="BJ229" s="3">
        <f t="shared" si="112"/>
        <v>8.807361159310155E-3</v>
      </c>
      <c r="BK229" s="3">
        <f t="shared" si="113"/>
        <v>1.3000429175780856E-2</v>
      </c>
    </row>
    <row r="230" spans="1:63" x14ac:dyDescent="0.2">
      <c r="A230" s="3" t="s">
        <v>237</v>
      </c>
      <c r="B230" s="3">
        <v>74.05</v>
      </c>
      <c r="C230" s="3">
        <v>83.25</v>
      </c>
      <c r="D230" s="3">
        <v>15.44</v>
      </c>
      <c r="E230" s="3">
        <v>60.1</v>
      </c>
      <c r="F230" s="3">
        <v>56.5</v>
      </c>
      <c r="G230" s="3">
        <v>167.4</v>
      </c>
      <c r="H230" s="3">
        <v>40.15</v>
      </c>
      <c r="I230" s="3">
        <v>120.5</v>
      </c>
      <c r="J230" s="3">
        <v>11.48</v>
      </c>
      <c r="K230" s="3">
        <v>76.099999999999994</v>
      </c>
      <c r="L230" s="3">
        <v>27683.400390999999</v>
      </c>
      <c r="N230" s="3">
        <f t="shared" si="94"/>
        <v>9.4086715569883239E-3</v>
      </c>
      <c r="O230" s="3">
        <f t="shared" si="95"/>
        <v>6.0042031224405434E-4</v>
      </c>
      <c r="P230" s="3">
        <f t="shared" si="96"/>
        <v>-6.4977486575199528E-3</v>
      </c>
      <c r="Q230" s="3">
        <f t="shared" si="97"/>
        <v>4.1511060023786683E-3</v>
      </c>
      <c r="R230" s="3">
        <f t="shared" si="98"/>
        <v>-2.658397666610135E-3</v>
      </c>
      <c r="S230" s="3">
        <f t="shared" si="99"/>
        <v>2.3866359777313662E-3</v>
      </c>
      <c r="T230" s="3">
        <f t="shared" si="100"/>
        <v>2.4875634718015682E-3</v>
      </c>
      <c r="U230" s="3">
        <f t="shared" si="101"/>
        <v>6.6170630192949886E-3</v>
      </c>
      <c r="V230" s="3">
        <f t="shared" si="102"/>
        <v>1.2121360532344916E-2</v>
      </c>
      <c r="W230" s="3">
        <f t="shared" si="103"/>
        <v>-1.3149245813091071E-3</v>
      </c>
      <c r="X230" s="3">
        <f t="shared" si="104"/>
        <v>1.892736449473631E-4</v>
      </c>
      <c r="AZ230" s="3" t="s">
        <v>235</v>
      </c>
      <c r="BA230" s="3">
        <v>225</v>
      </c>
      <c r="BB230" s="3">
        <f t="shared" si="105"/>
        <v>0.9866672404699488</v>
      </c>
      <c r="BC230" s="3">
        <f t="shared" si="106"/>
        <v>0.9844832906097335</v>
      </c>
      <c r="BD230" s="3">
        <f t="shared" si="107"/>
        <v>1.0414729817470292</v>
      </c>
      <c r="BE230" s="3">
        <f t="shared" si="108"/>
        <v>1.1082695532217235</v>
      </c>
      <c r="BF230" s="3">
        <f t="shared" si="109"/>
        <v>1.0224097547228537</v>
      </c>
      <c r="BH230" s="3">
        <f t="shared" si="110"/>
        <v>8.6984237156963601E-3</v>
      </c>
      <c r="BI230" s="3">
        <f t="shared" si="111"/>
        <v>8.5285591855232372E-3</v>
      </c>
      <c r="BJ230" s="3">
        <f t="shared" si="112"/>
        <v>7.3215801102026398E-3</v>
      </c>
      <c r="BK230" s="3">
        <f t="shared" si="113"/>
        <v>5.4716300127559958E-3</v>
      </c>
    </row>
    <row r="231" spans="1:63" x14ac:dyDescent="0.2">
      <c r="A231" s="3" t="s">
        <v>238</v>
      </c>
      <c r="B231" s="3">
        <v>74.75</v>
      </c>
      <c r="C231" s="3">
        <v>83.3</v>
      </c>
      <c r="D231" s="3">
        <v>15.34</v>
      </c>
      <c r="E231" s="3">
        <v>60.35</v>
      </c>
      <c r="F231" s="3">
        <v>56.35</v>
      </c>
      <c r="G231" s="3">
        <v>167.8</v>
      </c>
      <c r="H231" s="3">
        <v>40.25</v>
      </c>
      <c r="I231" s="3">
        <v>121.3</v>
      </c>
      <c r="J231" s="3">
        <v>11.62</v>
      </c>
      <c r="K231" s="3">
        <v>76</v>
      </c>
      <c r="L231" s="3">
        <v>27688.640625</v>
      </c>
      <c r="N231" s="3">
        <f t="shared" si="94"/>
        <v>6.0020186849980561E-3</v>
      </c>
      <c r="O231" s="3">
        <f t="shared" si="95"/>
        <v>3.5949709178586531E-3</v>
      </c>
      <c r="P231" s="3">
        <f t="shared" si="96"/>
        <v>1.1665718815962567E-2</v>
      </c>
      <c r="Q231" s="3">
        <f t="shared" si="97"/>
        <v>-2.4885952287645452E-3</v>
      </c>
      <c r="R231" s="3">
        <f t="shared" si="98"/>
        <v>6.1919702479213967E-3</v>
      </c>
      <c r="S231" s="3">
        <f t="shared" si="99"/>
        <v>1.9475386865041244E-2</v>
      </c>
      <c r="T231" s="3">
        <f t="shared" si="100"/>
        <v>7.4257766968495176E-3</v>
      </c>
      <c r="U231" s="3">
        <f t="shared" si="101"/>
        <v>8.2102267431221065E-3</v>
      </c>
      <c r="V231" s="3">
        <f t="shared" si="102"/>
        <v>8.5690327251013443E-3</v>
      </c>
      <c r="W231" s="3">
        <f t="shared" si="103"/>
        <v>7.8637364602140991E-3</v>
      </c>
      <c r="X231" s="3">
        <f t="shared" si="104"/>
        <v>5.7112735231434897E-3</v>
      </c>
      <c r="AZ231" s="3" t="s">
        <v>236</v>
      </c>
      <c r="BA231" s="3">
        <v>226</v>
      </c>
      <c r="BB231" s="3">
        <f t="shared" si="105"/>
        <v>0.99528712555020094</v>
      </c>
      <c r="BC231" s="3">
        <f t="shared" si="106"/>
        <v>0.99291542047003012</v>
      </c>
      <c r="BD231" s="3">
        <f t="shared" si="107"/>
        <v>1.0491261922244672</v>
      </c>
      <c r="BE231" s="3">
        <f t="shared" si="108"/>
        <v>1.1143502145653061</v>
      </c>
      <c r="BF231" s="3">
        <f t="shared" si="109"/>
        <v>1.0392560680204099</v>
      </c>
      <c r="BH231" s="3">
        <f t="shared" si="110"/>
        <v>3.5731185507625511E-3</v>
      </c>
      <c r="BI231" s="3">
        <f t="shared" si="111"/>
        <v>2.4072813271098963E-3</v>
      </c>
      <c r="BJ231" s="3">
        <f t="shared" si="112"/>
        <v>-4.4569584908187021E-4</v>
      </c>
      <c r="BK231" s="3">
        <f t="shared" si="113"/>
        <v>-5.6729798662632225E-3</v>
      </c>
    </row>
    <row r="232" spans="1:63" x14ac:dyDescent="0.2">
      <c r="A232" s="3" t="s">
        <v>239</v>
      </c>
      <c r="B232" s="3">
        <v>75.2</v>
      </c>
      <c r="C232" s="3">
        <v>83.6</v>
      </c>
      <c r="D232" s="3">
        <v>15.52</v>
      </c>
      <c r="E232" s="3">
        <v>60.2</v>
      </c>
      <c r="F232" s="3">
        <v>56.7</v>
      </c>
      <c r="G232" s="3">
        <v>171.1</v>
      </c>
      <c r="H232" s="3">
        <v>40.549999999999997</v>
      </c>
      <c r="I232" s="3">
        <v>122.3</v>
      </c>
      <c r="J232" s="3">
        <v>11.72</v>
      </c>
      <c r="K232" s="3">
        <v>76.599999999999994</v>
      </c>
      <c r="L232" s="3">
        <v>27847.230468999998</v>
      </c>
      <c r="N232" s="3">
        <f t="shared" si="94"/>
        <v>-6.6511475681085841E-4</v>
      </c>
      <c r="O232" s="3">
        <f t="shared" si="95"/>
        <v>1.7926506145196086E-3</v>
      </c>
      <c r="P232" s="3">
        <f t="shared" si="96"/>
        <v>-6.464146619889366E-3</v>
      </c>
      <c r="Q232" s="3">
        <f t="shared" si="97"/>
        <v>-2.4948037887835284E-3</v>
      </c>
      <c r="R232" s="3">
        <f t="shared" si="98"/>
        <v>-9.7475295492541747E-3</v>
      </c>
      <c r="S232" s="3">
        <f t="shared" si="99"/>
        <v>-6.4497438478854363E-3</v>
      </c>
      <c r="T232" s="3">
        <f t="shared" si="100"/>
        <v>-2.6235108654345751E-2</v>
      </c>
      <c r="U232" s="3">
        <f t="shared" si="101"/>
        <v>-1.3168914589640757E-2</v>
      </c>
      <c r="V232" s="3">
        <f t="shared" si="102"/>
        <v>-1.8949748779662379E-2</v>
      </c>
      <c r="W232" s="3">
        <f t="shared" si="103"/>
        <v>6.5252857127795494E-4</v>
      </c>
      <c r="X232" s="3">
        <f t="shared" si="104"/>
        <v>-7.0665374903207123E-3</v>
      </c>
      <c r="AZ232" s="3" t="s">
        <v>237</v>
      </c>
      <c r="BA232" s="3">
        <v>227</v>
      </c>
      <c r="BB232" s="3">
        <f t="shared" si="105"/>
        <v>0.99884976551891691</v>
      </c>
      <c r="BC232" s="3">
        <f t="shared" si="106"/>
        <v>0.99530852650519186</v>
      </c>
      <c r="BD232" s="3">
        <f t="shared" si="107"/>
        <v>1.0486587052216767</v>
      </c>
      <c r="BE232" s="3">
        <f t="shared" si="108"/>
        <v>1.1080464257736291</v>
      </c>
      <c r="BF232" s="3">
        <f t="shared" si="109"/>
        <v>1.0443905945089458</v>
      </c>
      <c r="BH232" s="3">
        <f t="shared" si="110"/>
        <v>2.734489939351643E-3</v>
      </c>
      <c r="BI232" s="3">
        <f t="shared" si="111"/>
        <v>1.9021354120680916E-3</v>
      </c>
      <c r="BJ232" s="3">
        <f t="shared" si="112"/>
        <v>-1.4563679893599829E-3</v>
      </c>
      <c r="BK232" s="3">
        <f t="shared" si="113"/>
        <v>-6.704411435065713E-3</v>
      </c>
    </row>
    <row r="233" spans="1:63" x14ac:dyDescent="0.2">
      <c r="A233" s="3" t="s">
        <v>240</v>
      </c>
      <c r="B233" s="3">
        <v>75.150000000000006</v>
      </c>
      <c r="C233" s="3">
        <v>83.75</v>
      </c>
      <c r="D233" s="3">
        <v>15.42</v>
      </c>
      <c r="E233" s="3">
        <v>60.05</v>
      </c>
      <c r="F233" s="3">
        <v>56.15</v>
      </c>
      <c r="G233" s="3">
        <v>170</v>
      </c>
      <c r="H233" s="3">
        <v>39.5</v>
      </c>
      <c r="I233" s="3">
        <v>120.7</v>
      </c>
      <c r="J233" s="3">
        <v>11.5</v>
      </c>
      <c r="K233" s="3">
        <v>76.650000000000006</v>
      </c>
      <c r="L233" s="3">
        <v>27651.140625</v>
      </c>
      <c r="N233" s="3">
        <f t="shared" si="94"/>
        <v>-2.2200709980192634E-2</v>
      </c>
      <c r="O233" s="3">
        <f t="shared" si="95"/>
        <v>-2.1726865515336868E-2</v>
      </c>
      <c r="P233" s="3">
        <f t="shared" si="96"/>
        <v>-1.305501570164358E-2</v>
      </c>
      <c r="Q233" s="3">
        <f t="shared" si="97"/>
        <v>-1.7640104620272545E-2</v>
      </c>
      <c r="R233" s="3">
        <f t="shared" si="98"/>
        <v>-1.1643660432063996E-2</v>
      </c>
      <c r="S233" s="3">
        <f t="shared" si="99"/>
        <v>-2.8641575963384014E-2</v>
      </c>
      <c r="T233" s="3">
        <f t="shared" si="100"/>
        <v>-2.5642430613337375E-2</v>
      </c>
      <c r="U233" s="3">
        <f t="shared" si="101"/>
        <v>-7.4809256808391567E-2</v>
      </c>
      <c r="V233" s="3">
        <f t="shared" si="102"/>
        <v>-4.2635231644435834E-2</v>
      </c>
      <c r="W233" s="3">
        <f t="shared" si="103"/>
        <v>-5.3596215301531025E-2</v>
      </c>
      <c r="X233" s="3">
        <f t="shared" si="104"/>
        <v>-2.6554161670922838E-2</v>
      </c>
      <c r="AZ233" s="3" t="s">
        <v>238</v>
      </c>
      <c r="BA233" s="3">
        <v>228</v>
      </c>
      <c r="BB233" s="3">
        <f t="shared" si="105"/>
        <v>1.0015848479771015</v>
      </c>
      <c r="BC233" s="3">
        <f t="shared" si="106"/>
        <v>0.99720353981398591</v>
      </c>
      <c r="BD233" s="3">
        <f t="shared" si="107"/>
        <v>1.0471325838185508</v>
      </c>
      <c r="BE233" s="3">
        <f t="shared" si="108"/>
        <v>1.1006424739491407</v>
      </c>
      <c r="BF233" s="3">
        <f t="shared" si="109"/>
        <v>1.0445882888320899</v>
      </c>
      <c r="BH233" s="3">
        <f t="shared" si="110"/>
        <v>7.7358178807312664E-3</v>
      </c>
      <c r="BI233" s="3">
        <f t="shared" si="111"/>
        <v>7.329501028965851E-3</v>
      </c>
      <c r="BJ233" s="3">
        <f t="shared" si="112"/>
        <v>7.734182038361008E-3</v>
      </c>
      <c r="BK233" s="3">
        <f t="shared" si="113"/>
        <v>7.187614812583315E-3</v>
      </c>
    </row>
    <row r="234" spans="1:63" x14ac:dyDescent="0.2">
      <c r="A234" s="3" t="s">
        <v>241</v>
      </c>
      <c r="B234" s="3">
        <v>73.5</v>
      </c>
      <c r="C234" s="3">
        <v>81.95</v>
      </c>
      <c r="D234" s="3">
        <v>15.22</v>
      </c>
      <c r="E234" s="3">
        <v>59</v>
      </c>
      <c r="F234" s="3">
        <v>55.5</v>
      </c>
      <c r="G234" s="3">
        <v>165.2</v>
      </c>
      <c r="H234" s="3">
        <v>38.5</v>
      </c>
      <c r="I234" s="3">
        <v>112</v>
      </c>
      <c r="J234" s="3">
        <v>11.02</v>
      </c>
      <c r="K234" s="3">
        <v>72.650000000000006</v>
      </c>
      <c r="L234" s="3">
        <v>26926.550781000002</v>
      </c>
      <c r="N234" s="3">
        <f t="shared" si="94"/>
        <v>4.0733253876359399E-3</v>
      </c>
      <c r="O234" s="3">
        <f t="shared" si="95"/>
        <v>-3.0553033238813754E-3</v>
      </c>
      <c r="P234" s="3">
        <f t="shared" si="96"/>
        <v>1.3131978249605325E-3</v>
      </c>
      <c r="Q234" s="3">
        <f t="shared" si="97"/>
        <v>8.4709873765120847E-4</v>
      </c>
      <c r="R234" s="3">
        <f t="shared" si="98"/>
        <v>5.3908486348763773E-3</v>
      </c>
      <c r="S234" s="3">
        <f t="shared" si="99"/>
        <v>4.2283361095210026E-3</v>
      </c>
      <c r="T234" s="3">
        <f t="shared" si="100"/>
        <v>-3.9037134804735807E-3</v>
      </c>
      <c r="U234" s="3">
        <f t="shared" si="101"/>
        <v>8.9245878301991155E-4</v>
      </c>
      <c r="V234" s="3">
        <f t="shared" si="102"/>
        <v>-1.8165309263977747E-3</v>
      </c>
      <c r="W234" s="3">
        <f t="shared" si="103"/>
        <v>-4.1379369387994913E-3</v>
      </c>
      <c r="X234" s="3">
        <f t="shared" si="104"/>
        <v>5.1388819788442675E-3</v>
      </c>
      <c r="AZ234" s="3" t="s">
        <v>239</v>
      </c>
      <c r="BA234" s="3">
        <v>229</v>
      </c>
      <c r="BB234" s="3">
        <f t="shared" si="105"/>
        <v>1.0093629722407911</v>
      </c>
      <c r="BC234" s="3">
        <f t="shared" si="106"/>
        <v>1.0045393954246442</v>
      </c>
      <c r="BD234" s="3">
        <f t="shared" si="107"/>
        <v>1.0552626972016217</v>
      </c>
      <c r="BE234" s="3">
        <f t="shared" si="108"/>
        <v>1.108581966926236</v>
      </c>
      <c r="BF234" s="3">
        <f t="shared" si="109"/>
        <v>1.0505712872758826</v>
      </c>
      <c r="BH234" s="3">
        <f t="shared" si="110"/>
        <v>-8.7535487228378658E-3</v>
      </c>
      <c r="BI234" s="3">
        <f t="shared" si="111"/>
        <v>-7.7067283437240791E-3</v>
      </c>
      <c r="BJ234" s="3">
        <f t="shared" si="112"/>
        <v>-7.098775603818018E-3</v>
      </c>
      <c r="BK234" s="3">
        <f t="shared" si="113"/>
        <v>-4.2599983778882772E-3</v>
      </c>
    </row>
    <row r="235" spans="1:63" x14ac:dyDescent="0.2">
      <c r="A235" s="3" t="s">
        <v>242</v>
      </c>
      <c r="B235" s="3">
        <v>73.8</v>
      </c>
      <c r="C235" s="3">
        <v>81.7</v>
      </c>
      <c r="D235" s="3">
        <v>15.24</v>
      </c>
      <c r="E235" s="3">
        <v>59.05</v>
      </c>
      <c r="F235" s="3">
        <v>55.8</v>
      </c>
      <c r="G235" s="3">
        <v>165.9</v>
      </c>
      <c r="H235" s="3">
        <v>38.35</v>
      </c>
      <c r="I235" s="3">
        <v>112.1</v>
      </c>
      <c r="J235" s="3">
        <v>11</v>
      </c>
      <c r="K235" s="3">
        <v>72.349999999999994</v>
      </c>
      <c r="L235" s="3">
        <v>27065.279297000001</v>
      </c>
      <c r="N235" s="3">
        <f t="shared" si="94"/>
        <v>-1.5705341590134481E-2</v>
      </c>
      <c r="O235" s="3">
        <f t="shared" si="95"/>
        <v>-1.5418128427564959E-2</v>
      </c>
      <c r="P235" s="3">
        <f t="shared" si="96"/>
        <v>-1.4540903922511728E-2</v>
      </c>
      <c r="Q235" s="3">
        <f t="shared" si="97"/>
        <v>-1.3640450197560661E-2</v>
      </c>
      <c r="R235" s="3">
        <f t="shared" si="98"/>
        <v>-2.5409715525368082E-2</v>
      </c>
      <c r="S235" s="3">
        <f t="shared" si="99"/>
        <v>-2.070719542660715E-2</v>
      </c>
      <c r="T235" s="3">
        <f t="shared" si="100"/>
        <v>-2.9102582987696746E-2</v>
      </c>
      <c r="U235" s="3">
        <f t="shared" si="101"/>
        <v>-2.4380440090233435E-2</v>
      </c>
      <c r="V235" s="3">
        <f t="shared" si="102"/>
        <v>-5.0336814161593857E-2</v>
      </c>
      <c r="W235" s="3">
        <f t="shared" si="103"/>
        <v>-3.8032752851678175E-2</v>
      </c>
      <c r="X235" s="3">
        <f t="shared" si="104"/>
        <v>-1.8413956931890851E-2</v>
      </c>
      <c r="AZ235" s="3" t="s">
        <v>240</v>
      </c>
      <c r="BA235" s="3">
        <v>230</v>
      </c>
      <c r="BB235" s="3">
        <f t="shared" si="105"/>
        <v>1.0005660227192119</v>
      </c>
      <c r="BC235" s="3">
        <f t="shared" si="106"/>
        <v>0.99682743834272847</v>
      </c>
      <c r="BD235" s="3">
        <f t="shared" si="107"/>
        <v>1.0477981500302624</v>
      </c>
      <c r="BE235" s="3">
        <f t="shared" si="108"/>
        <v>1.1038694543201282</v>
      </c>
      <c r="BF235" s="3">
        <f t="shared" si="109"/>
        <v>1.0431735548492365</v>
      </c>
      <c r="BH235" s="3">
        <f t="shared" si="110"/>
        <v>-3.1140592192254523E-2</v>
      </c>
      <c r="BI235" s="3">
        <f t="shared" si="111"/>
        <v>-2.7589624065454045E-2</v>
      </c>
      <c r="BJ235" s="3">
        <f t="shared" si="112"/>
        <v>-1.6938182681789551E-2</v>
      </c>
      <c r="BK235" s="3">
        <f t="shared" si="113"/>
        <v>1.7513226252757197E-3</v>
      </c>
    </row>
    <row r="236" spans="1:63" x14ac:dyDescent="0.2">
      <c r="A236" s="3" t="s">
        <v>243</v>
      </c>
      <c r="B236" s="3">
        <v>72.650000000000006</v>
      </c>
      <c r="C236" s="3">
        <v>80.45</v>
      </c>
      <c r="D236" s="3">
        <v>15.02</v>
      </c>
      <c r="E236" s="3">
        <v>58.25</v>
      </c>
      <c r="F236" s="3">
        <v>54.4</v>
      </c>
      <c r="G236" s="3">
        <v>162.5</v>
      </c>
      <c r="H236" s="3">
        <v>37.25</v>
      </c>
      <c r="I236" s="3">
        <v>109.4</v>
      </c>
      <c r="J236" s="3">
        <v>10.46</v>
      </c>
      <c r="K236" s="3">
        <v>69.650000000000006</v>
      </c>
      <c r="L236" s="3">
        <v>26571.460938</v>
      </c>
      <c r="N236" s="3">
        <f t="shared" si="94"/>
        <v>-1.7355520670752966E-2</v>
      </c>
      <c r="O236" s="3">
        <f t="shared" si="95"/>
        <v>0</v>
      </c>
      <c r="P236" s="3">
        <f t="shared" si="96"/>
        <v>-6.6800515603735455E-3</v>
      </c>
      <c r="Q236" s="3">
        <f t="shared" si="97"/>
        <v>-6.0267078668605478E-3</v>
      </c>
      <c r="R236" s="3">
        <f t="shared" si="98"/>
        <v>6.4132148347133544E-3</v>
      </c>
      <c r="S236" s="3">
        <f t="shared" si="99"/>
        <v>-1.6754968437617812E-2</v>
      </c>
      <c r="T236" s="3">
        <f t="shared" si="100"/>
        <v>-8.0862974313573588E-3</v>
      </c>
      <c r="U236" s="3">
        <f t="shared" si="101"/>
        <v>-1.2879662863660712E-2</v>
      </c>
      <c r="V236" s="3">
        <f t="shared" si="102"/>
        <v>-5.7526524894497832E-3</v>
      </c>
      <c r="W236" s="3">
        <f t="shared" si="103"/>
        <v>-2.3239971128339754E-2</v>
      </c>
      <c r="X236" s="3">
        <f t="shared" si="104"/>
        <v>-9.3684693349374015E-3</v>
      </c>
      <c r="AZ236" s="3" t="s">
        <v>241</v>
      </c>
      <c r="BA236" s="3">
        <v>231</v>
      </c>
      <c r="BB236" s="3">
        <f t="shared" si="105"/>
        <v>0.9698879500170422</v>
      </c>
      <c r="BC236" s="3">
        <f t="shared" si="106"/>
        <v>0.96970126517392785</v>
      </c>
      <c r="BD236" s="3">
        <f t="shared" si="107"/>
        <v>1.0301998161958998</v>
      </c>
      <c r="BE236" s="3">
        <f t="shared" si="108"/>
        <v>1.1058043797155857</v>
      </c>
      <c r="BF236" s="3">
        <f t="shared" si="109"/>
        <v>1.015837504824243</v>
      </c>
      <c r="BH236" s="3">
        <f t="shared" si="110"/>
        <v>3.9892104747848989E-4</v>
      </c>
      <c r="BI236" s="3">
        <f t="shared" si="111"/>
        <v>8.2495002520103361E-4</v>
      </c>
      <c r="BJ236" s="3">
        <f t="shared" si="112"/>
        <v>2.1727686983334174E-3</v>
      </c>
      <c r="BK236" s="3">
        <f t="shared" si="113"/>
        <v>4.703487105726753E-3</v>
      </c>
    </row>
    <row r="237" spans="1:63" x14ac:dyDescent="0.2">
      <c r="A237" s="3" t="s">
        <v>244</v>
      </c>
      <c r="B237" s="3">
        <v>71.400000000000006</v>
      </c>
      <c r="C237" s="3">
        <v>80.45</v>
      </c>
      <c r="D237" s="3">
        <v>14.92</v>
      </c>
      <c r="E237" s="3">
        <v>57.9</v>
      </c>
      <c r="F237" s="3">
        <v>54.75</v>
      </c>
      <c r="G237" s="3">
        <v>159.80000000000001</v>
      </c>
      <c r="H237" s="3">
        <v>36.950000000000003</v>
      </c>
      <c r="I237" s="3">
        <v>108</v>
      </c>
      <c r="J237" s="3">
        <v>10.4</v>
      </c>
      <c r="K237" s="3">
        <v>68.05</v>
      </c>
      <c r="L237" s="3">
        <v>26323.689452999999</v>
      </c>
      <c r="N237" s="3">
        <f t="shared" si="94"/>
        <v>-6.3224657394878037E-3</v>
      </c>
      <c r="O237" s="3">
        <f t="shared" si="95"/>
        <v>-2.4891114282672433E-3</v>
      </c>
      <c r="P237" s="3">
        <f t="shared" si="96"/>
        <v>-1.3413818242016262E-3</v>
      </c>
      <c r="Q237" s="3">
        <f t="shared" si="97"/>
        <v>-3.4602110648958018E-3</v>
      </c>
      <c r="R237" s="3">
        <f t="shared" si="98"/>
        <v>-8.2531417567204279E-3</v>
      </c>
      <c r="S237" s="3">
        <f t="shared" si="99"/>
        <v>-3.1338164161711646E-3</v>
      </c>
      <c r="T237" s="3">
        <f t="shared" si="100"/>
        <v>-4.067802219325678E-3</v>
      </c>
      <c r="U237" s="3">
        <f t="shared" si="101"/>
        <v>-5.5710450494554919E-3</v>
      </c>
      <c r="V237" s="3">
        <f t="shared" si="102"/>
        <v>1.9212301778939178E-3</v>
      </c>
      <c r="W237" s="3">
        <f t="shared" si="103"/>
        <v>5.1300955310304985E-3</v>
      </c>
      <c r="X237" s="3">
        <f t="shared" si="104"/>
        <v>1.1284646826581479E-4</v>
      </c>
      <c r="AZ237" s="3" t="s">
        <v>242</v>
      </c>
      <c r="BA237" s="3">
        <v>232</v>
      </c>
      <c r="BB237" s="3">
        <f t="shared" si="105"/>
        <v>0.97027493591727809</v>
      </c>
      <c r="BC237" s="3">
        <f t="shared" si="106"/>
        <v>0.97050155030930618</v>
      </c>
      <c r="BD237" s="3">
        <f t="shared" si="107"/>
        <v>1.0324406356191485</v>
      </c>
      <c r="BE237" s="3">
        <f t="shared" si="108"/>
        <v>1.1110177672964459</v>
      </c>
      <c r="BF237" s="3">
        <f t="shared" si="109"/>
        <v>1.0210712100502704</v>
      </c>
      <c r="BH237" s="3">
        <f t="shared" si="110"/>
        <v>-2.4829376807345045E-2</v>
      </c>
      <c r="BI237" s="3">
        <f t="shared" si="111"/>
        <v>-2.3096559476502552E-2</v>
      </c>
      <c r="BJ237" s="3">
        <f t="shared" si="112"/>
        <v>-2.083930846097707E-2</v>
      </c>
      <c r="BK237" s="3">
        <f t="shared" si="113"/>
        <v>-1.6078693460016696E-2</v>
      </c>
    </row>
    <row r="238" spans="1:63" x14ac:dyDescent="0.2">
      <c r="A238" s="3" t="s">
        <v>245</v>
      </c>
      <c r="B238" s="3">
        <v>70.95</v>
      </c>
      <c r="C238" s="3">
        <v>80.25</v>
      </c>
      <c r="D238" s="3">
        <v>14.9</v>
      </c>
      <c r="E238" s="3">
        <v>57.7</v>
      </c>
      <c r="F238" s="3">
        <v>54.3</v>
      </c>
      <c r="G238" s="3">
        <v>159.30000000000001</v>
      </c>
      <c r="H238" s="3">
        <v>36.799999999999997</v>
      </c>
      <c r="I238" s="3">
        <v>107.4</v>
      </c>
      <c r="J238" s="3">
        <v>10.42</v>
      </c>
      <c r="K238" s="3">
        <v>68.400000000000006</v>
      </c>
      <c r="L238" s="3">
        <v>26326.660156000002</v>
      </c>
      <c r="N238" s="3">
        <f t="shared" si="94"/>
        <v>1.4690715410003996E-2</v>
      </c>
      <c r="O238" s="3">
        <f t="shared" si="95"/>
        <v>6.830203516924982E-3</v>
      </c>
      <c r="P238" s="3">
        <f t="shared" si="96"/>
        <v>6.6889881507967708E-3</v>
      </c>
      <c r="Q238" s="3">
        <f t="shared" si="97"/>
        <v>8.6281812233384159E-3</v>
      </c>
      <c r="R238" s="3">
        <f t="shared" si="98"/>
        <v>1.1899453909741009E-2</v>
      </c>
      <c r="S238" s="3">
        <f t="shared" si="99"/>
        <v>9.3721398288630908E-3</v>
      </c>
      <c r="T238" s="3">
        <f t="shared" si="100"/>
        <v>1.7508864788343015E-2</v>
      </c>
      <c r="U238" s="3">
        <f t="shared" si="101"/>
        <v>1.6620881236040219E-2</v>
      </c>
      <c r="V238" s="3">
        <f t="shared" si="102"/>
        <v>1.5238390104932442E-2</v>
      </c>
      <c r="W238" s="3">
        <f t="shared" si="103"/>
        <v>1.1628037995119023E-2</v>
      </c>
      <c r="X238" s="3">
        <f t="shared" si="104"/>
        <v>1.3372949051523975E-2</v>
      </c>
      <c r="AZ238" s="3" t="s">
        <v>243</v>
      </c>
      <c r="BA238" s="3">
        <v>233</v>
      </c>
      <c r="BB238" s="3">
        <f t="shared" si="105"/>
        <v>0.94648024009681431</v>
      </c>
      <c r="BC238" s="3">
        <f t="shared" si="106"/>
        <v>0.94834317961892844</v>
      </c>
      <c r="BD238" s="3">
        <f t="shared" si="107"/>
        <v>1.0111479200517546</v>
      </c>
      <c r="BE238" s="3">
        <f t="shared" si="108"/>
        <v>1.0932968991621399</v>
      </c>
      <c r="BF238" s="3">
        <f t="shared" si="109"/>
        <v>1.0024413003480246</v>
      </c>
      <c r="BH238" s="3">
        <f t="shared" si="110"/>
        <v>-8.5731107852533642E-3</v>
      </c>
      <c r="BI238" s="3">
        <f t="shared" si="111"/>
        <v>-7.3525223992448249E-3</v>
      </c>
      <c r="BJ238" s="3">
        <f t="shared" si="112"/>
        <v>-1.6381134107843962E-5</v>
      </c>
      <c r="BK238" s="3">
        <f t="shared" si="113"/>
        <v>1.0395221707892366E-2</v>
      </c>
    </row>
    <row r="239" spans="1:63" x14ac:dyDescent="0.2">
      <c r="A239" s="3" t="s">
        <v>246</v>
      </c>
      <c r="B239" s="3">
        <v>72</v>
      </c>
      <c r="C239" s="3">
        <v>80.8</v>
      </c>
      <c r="D239" s="3">
        <v>15</v>
      </c>
      <c r="E239" s="3">
        <v>58.2</v>
      </c>
      <c r="F239" s="3">
        <v>54.95</v>
      </c>
      <c r="G239" s="3">
        <v>160.80000000000001</v>
      </c>
      <c r="H239" s="3">
        <v>37.450000000000003</v>
      </c>
      <c r="I239" s="3">
        <v>109.2</v>
      </c>
      <c r="J239" s="3">
        <v>10.58</v>
      </c>
      <c r="K239" s="3">
        <v>69.2</v>
      </c>
      <c r="L239" s="3">
        <v>26681.089843999998</v>
      </c>
      <c r="N239" s="3">
        <f t="shared" si="94"/>
        <v>1.5846008450077775E-2</v>
      </c>
      <c r="O239" s="3">
        <f t="shared" si="95"/>
        <v>6.7838681379965848E-3</v>
      </c>
      <c r="P239" s="3">
        <f t="shared" si="96"/>
        <v>1.192857086527388E-2</v>
      </c>
      <c r="Q239" s="3">
        <f t="shared" si="97"/>
        <v>1.1106478968893718E-2</v>
      </c>
      <c r="R239" s="3">
        <f t="shared" si="98"/>
        <v>9.0580329467453424E-3</v>
      </c>
      <c r="S239" s="3">
        <f t="shared" si="99"/>
        <v>1.8484814674103234E-2</v>
      </c>
      <c r="T239" s="3">
        <f t="shared" si="100"/>
        <v>2.1136850309316557E-2</v>
      </c>
      <c r="U239" s="3">
        <f t="shared" si="101"/>
        <v>1.4545711002378781E-2</v>
      </c>
      <c r="V239" s="3">
        <f t="shared" si="102"/>
        <v>1.8727139050697783E-2</v>
      </c>
      <c r="W239" s="3">
        <f t="shared" si="103"/>
        <v>1.3634943924845544E-2</v>
      </c>
      <c r="X239" s="3">
        <f t="shared" si="104"/>
        <v>1.5349879310182502E-2</v>
      </c>
      <c r="AZ239" s="3" t="s">
        <v>244</v>
      </c>
      <c r="BA239" s="3">
        <v>234</v>
      </c>
      <c r="BB239" s="3">
        <f t="shared" si="105"/>
        <v>0.93840064326804495</v>
      </c>
      <c r="BC239" s="3">
        <f t="shared" si="106"/>
        <v>0.94139603595990518</v>
      </c>
      <c r="BD239" s="3">
        <f t="shared" si="107"/>
        <v>1.0111313564377391</v>
      </c>
      <c r="BE239" s="3">
        <f t="shared" si="108"/>
        <v>1.1047212392187582</v>
      </c>
      <c r="BF239" s="3">
        <f t="shared" si="109"/>
        <v>0.99309381395304963</v>
      </c>
      <c r="BH239" s="3">
        <f t="shared" si="110"/>
        <v>-2.8815156163033845E-3</v>
      </c>
      <c r="BI239" s="3">
        <f t="shared" si="111"/>
        <v>-3.3158870217384132E-3</v>
      </c>
      <c r="BJ239" s="3">
        <f t="shared" si="112"/>
        <v>-5.1275627670042045E-3</v>
      </c>
      <c r="BK239" s="3">
        <f t="shared" si="113"/>
        <v>-8.0296609118708645E-3</v>
      </c>
    </row>
    <row r="240" spans="1:63" x14ac:dyDescent="0.2">
      <c r="A240" s="3" t="s">
        <v>247</v>
      </c>
      <c r="B240" s="3">
        <v>73.150000000000006</v>
      </c>
      <c r="C240" s="3">
        <v>81.349999999999994</v>
      </c>
      <c r="D240" s="3">
        <v>15.18</v>
      </c>
      <c r="E240" s="3">
        <v>58.85</v>
      </c>
      <c r="F240" s="3">
        <v>55.45</v>
      </c>
      <c r="G240" s="3">
        <v>163.80000000000001</v>
      </c>
      <c r="H240" s="3">
        <v>38.25</v>
      </c>
      <c r="I240" s="3">
        <v>110.8</v>
      </c>
      <c r="J240" s="3">
        <v>10.78</v>
      </c>
      <c r="K240" s="3">
        <v>70.150000000000006</v>
      </c>
      <c r="L240" s="3">
        <v>27093.800781000002</v>
      </c>
      <c r="N240" s="3">
        <f t="shared" si="94"/>
        <v>-3.4234884515207398E-3</v>
      </c>
      <c r="O240" s="3">
        <f t="shared" si="95"/>
        <v>-6.7838681379965848E-3</v>
      </c>
      <c r="P240" s="3">
        <f t="shared" si="96"/>
        <v>-3.9604012160969759E-3</v>
      </c>
      <c r="Q240" s="3">
        <f t="shared" si="97"/>
        <v>-5.9650794684751318E-3</v>
      </c>
      <c r="R240" s="3">
        <f t="shared" si="98"/>
        <v>4.4984331368622676E-3</v>
      </c>
      <c r="S240" s="3">
        <f t="shared" si="99"/>
        <v>-4.8959706122069235E-3</v>
      </c>
      <c r="T240" s="3">
        <f t="shared" si="100"/>
        <v>0</v>
      </c>
      <c r="U240" s="3">
        <f t="shared" si="101"/>
        <v>9.0212004313805494E-4</v>
      </c>
      <c r="V240" s="3">
        <f t="shared" si="102"/>
        <v>0</v>
      </c>
      <c r="W240" s="3">
        <f t="shared" si="103"/>
        <v>6.3943379507263032E-3</v>
      </c>
      <c r="X240" s="3">
        <f t="shared" si="104"/>
        <v>-7.5650048494502187E-3</v>
      </c>
      <c r="AZ240" s="3" t="s">
        <v>245</v>
      </c>
      <c r="BA240" s="3">
        <v>235</v>
      </c>
      <c r="BB240" s="3">
        <f t="shared" si="105"/>
        <v>0.93570051925316666</v>
      </c>
      <c r="BC240" s="3">
        <f t="shared" si="106"/>
        <v>0.93827964272131947</v>
      </c>
      <c r="BD240" s="3">
        <f t="shared" si="107"/>
        <v>1.0059599865342277</v>
      </c>
      <c r="BE240" s="3">
        <f t="shared" si="108"/>
        <v>1.09588622083667</v>
      </c>
      <c r="BF240" s="3">
        <f t="shared" si="109"/>
        <v>0.9932058874060381</v>
      </c>
      <c r="BH240" s="3">
        <f t="shared" si="110"/>
        <v>1.1963537452889472E-2</v>
      </c>
      <c r="BI240" s="3">
        <f t="shared" si="111"/>
        <v>1.1368183034668307E-2</v>
      </c>
      <c r="BJ240" s="3">
        <f t="shared" si="112"/>
        <v>1.017435676810351E-2</v>
      </c>
      <c r="BK240" s="3">
        <f t="shared" si="113"/>
        <v>8.1268754767064855E-3</v>
      </c>
    </row>
    <row r="241" spans="1:63" x14ac:dyDescent="0.2">
      <c r="A241" s="3" t="s">
        <v>248</v>
      </c>
      <c r="B241" s="3">
        <v>72.900000000000006</v>
      </c>
      <c r="C241" s="3">
        <v>80.8</v>
      </c>
      <c r="D241" s="3">
        <v>15.12</v>
      </c>
      <c r="E241" s="3">
        <v>58.5</v>
      </c>
      <c r="F241" s="3">
        <v>55.7</v>
      </c>
      <c r="G241" s="3">
        <v>163</v>
      </c>
      <c r="H241" s="3">
        <v>38.25</v>
      </c>
      <c r="I241" s="3">
        <v>110.9</v>
      </c>
      <c r="J241" s="3">
        <v>10.78</v>
      </c>
      <c r="K241" s="3">
        <v>70.599999999999994</v>
      </c>
      <c r="L241" s="3">
        <v>26889.609375</v>
      </c>
      <c r="N241" s="3">
        <f t="shared" si="94"/>
        <v>-1.7993565048012528E-2</v>
      </c>
      <c r="O241" s="3">
        <f t="shared" si="95"/>
        <v>-6.2073445743342504E-3</v>
      </c>
      <c r="P241" s="3">
        <f t="shared" si="96"/>
        <v>-9.3023926623136965E-3</v>
      </c>
      <c r="Q241" s="3">
        <f t="shared" si="97"/>
        <v>-1.03093696588612E-2</v>
      </c>
      <c r="R241" s="3">
        <f t="shared" si="98"/>
        <v>-8.1118065353757984E-3</v>
      </c>
      <c r="S241" s="3">
        <f t="shared" si="99"/>
        <v>-1.5456258236691944E-2</v>
      </c>
      <c r="T241" s="3">
        <f t="shared" si="100"/>
        <v>-1.4483465818579955E-2</v>
      </c>
      <c r="U241" s="3">
        <f t="shared" si="101"/>
        <v>-6.3319976375071363E-3</v>
      </c>
      <c r="V241" s="3">
        <f t="shared" si="102"/>
        <v>-4.1672696400568032E-2</v>
      </c>
      <c r="W241" s="3">
        <f t="shared" si="103"/>
        <v>-3.5473609387981497E-3</v>
      </c>
      <c r="X241" s="3">
        <f t="shared" si="104"/>
        <v>-1.5845770937952253E-2</v>
      </c>
      <c r="AZ241" s="3" t="s">
        <v>246</v>
      </c>
      <c r="BA241" s="3">
        <v>236</v>
      </c>
      <c r="BB241" s="3">
        <f t="shared" si="105"/>
        <v>0.94696203693633729</v>
      </c>
      <c r="BC241" s="3">
        <f t="shared" si="106"/>
        <v>0.94900703740073344</v>
      </c>
      <c r="BD241" s="3">
        <f t="shared" si="107"/>
        <v>1.0162472266147071</v>
      </c>
      <c r="BE241" s="3">
        <f t="shared" si="108"/>
        <v>1.1048286394336415</v>
      </c>
      <c r="BF241" s="3">
        <f t="shared" si="109"/>
        <v>1.0065771867165909</v>
      </c>
      <c r="BH241" s="3">
        <f t="shared" si="110"/>
        <v>1.4153300445432032E-2</v>
      </c>
      <c r="BI241" s="3">
        <f t="shared" si="111"/>
        <v>1.3324419944915074E-2</v>
      </c>
      <c r="BJ241" s="3">
        <f t="shared" si="112"/>
        <v>1.0337060542877932E-2</v>
      </c>
      <c r="BK241" s="3">
        <f t="shared" si="113"/>
        <v>5.4466732427380926E-3</v>
      </c>
    </row>
    <row r="242" spans="1:63" x14ac:dyDescent="0.2">
      <c r="A242" s="3" t="s">
        <v>249</v>
      </c>
      <c r="B242" s="3">
        <v>71.599999999999994</v>
      </c>
      <c r="C242" s="3">
        <v>80.3</v>
      </c>
      <c r="D242" s="3">
        <v>14.98</v>
      </c>
      <c r="E242" s="3">
        <v>57.9</v>
      </c>
      <c r="F242" s="3">
        <v>55.25</v>
      </c>
      <c r="G242" s="3">
        <v>160.5</v>
      </c>
      <c r="H242" s="3">
        <v>37.700000000000003</v>
      </c>
      <c r="I242" s="3">
        <v>110.2</v>
      </c>
      <c r="J242" s="3">
        <v>10.34</v>
      </c>
      <c r="K242" s="3">
        <v>70.349999999999994</v>
      </c>
      <c r="L242" s="3">
        <v>26466.880859000001</v>
      </c>
      <c r="N242" s="3">
        <f t="shared" si="94"/>
        <v>2.0927806731307896E-3</v>
      </c>
      <c r="O242" s="3">
        <f t="shared" si="95"/>
        <v>-1.2461060802468893E-3</v>
      </c>
      <c r="P242" s="3">
        <f t="shared" si="96"/>
        <v>1.3342230131367927E-3</v>
      </c>
      <c r="Q242" s="3">
        <f t="shared" si="97"/>
        <v>4.3084943857234492E-3</v>
      </c>
      <c r="R242" s="3">
        <f t="shared" si="98"/>
        <v>-1.8115946983510156E-3</v>
      </c>
      <c r="S242" s="3">
        <f t="shared" si="99"/>
        <v>1.8674141747956341E-3</v>
      </c>
      <c r="T242" s="3">
        <f t="shared" si="100"/>
        <v>3.9708854294926432E-3</v>
      </c>
      <c r="U242" s="3">
        <f t="shared" si="101"/>
        <v>6.3319976375071363E-3</v>
      </c>
      <c r="V242" s="3">
        <f t="shared" si="102"/>
        <v>0</v>
      </c>
      <c r="W242" s="3">
        <f t="shared" si="103"/>
        <v>-7.848773792071384E-3</v>
      </c>
      <c r="X242" s="3">
        <f t="shared" si="104"/>
        <v>4.8320667453030097E-3</v>
      </c>
      <c r="AZ242" s="3" t="s">
        <v>247</v>
      </c>
      <c r="BA242" s="3">
        <v>237</v>
      </c>
      <c r="BB242" s="3">
        <f t="shared" si="105"/>
        <v>0.96045996998629291</v>
      </c>
      <c r="BC242" s="3">
        <f t="shared" si="106"/>
        <v>0.96173662454630549</v>
      </c>
      <c r="BD242" s="3">
        <f t="shared" si="107"/>
        <v>1.0268067187499548</v>
      </c>
      <c r="BE242" s="3">
        <f t="shared" si="108"/>
        <v>1.1108626978768732</v>
      </c>
      <c r="BF242" s="3">
        <f t="shared" si="109"/>
        <v>1.0221472183877691</v>
      </c>
      <c r="BH242" s="3">
        <f t="shared" si="110"/>
        <v>-1.2982313406352045E-3</v>
      </c>
      <c r="BI242" s="3">
        <f t="shared" si="111"/>
        <v>-1.4606923758707022E-3</v>
      </c>
      <c r="BJ242" s="3">
        <f t="shared" si="112"/>
        <v>-7.1337828628528777E-4</v>
      </c>
      <c r="BK242" s="3">
        <f t="shared" si="113"/>
        <v>4.4195164675225884E-4</v>
      </c>
    </row>
    <row r="243" spans="1:63" x14ac:dyDescent="0.2">
      <c r="A243" s="3" t="s">
        <v>250</v>
      </c>
      <c r="B243" s="3">
        <v>71.75</v>
      </c>
      <c r="C243" s="3">
        <v>80.2</v>
      </c>
      <c r="D243" s="3">
        <v>15</v>
      </c>
      <c r="E243" s="3">
        <v>58.15</v>
      </c>
      <c r="F243" s="3">
        <v>55.15</v>
      </c>
      <c r="G243" s="3">
        <v>160.80000000000001</v>
      </c>
      <c r="H243" s="3">
        <v>37.85</v>
      </c>
      <c r="I243" s="3">
        <v>110.9</v>
      </c>
      <c r="J243" s="3">
        <v>10.34</v>
      </c>
      <c r="K243" s="3">
        <v>69.8</v>
      </c>
      <c r="L243" s="3">
        <v>26595.080077999999</v>
      </c>
      <c r="N243" s="3">
        <f t="shared" si="94"/>
        <v>1.3927578853030198E-3</v>
      </c>
      <c r="O243" s="3">
        <f t="shared" si="95"/>
        <v>7.4534506545811396E-3</v>
      </c>
      <c r="P243" s="3">
        <f t="shared" si="96"/>
        <v>6.6445427186687667E-3</v>
      </c>
      <c r="Q243" s="3">
        <f t="shared" si="97"/>
        <v>1.4511564941046551E-2</v>
      </c>
      <c r="R243" s="3">
        <f t="shared" si="98"/>
        <v>1.4401689058423095E-2</v>
      </c>
      <c r="S243" s="3">
        <f t="shared" si="99"/>
        <v>1.2975158863133274E-2</v>
      </c>
      <c r="T243" s="3">
        <f t="shared" si="100"/>
        <v>1.7027261410281103E-2</v>
      </c>
      <c r="U243" s="3">
        <f t="shared" si="101"/>
        <v>2.9322402865588515E-2</v>
      </c>
      <c r="V243" s="3">
        <f t="shared" si="102"/>
        <v>1.9157674032932892E-2</v>
      </c>
      <c r="W243" s="3">
        <f t="shared" si="103"/>
        <v>2.1963334154518677E-2</v>
      </c>
      <c r="X243" s="3">
        <f t="shared" si="104"/>
        <v>1.4852781076641008E-2</v>
      </c>
      <c r="AZ243" s="3" t="s">
        <v>248</v>
      </c>
      <c r="BA243" s="3">
        <v>238</v>
      </c>
      <c r="BB243" s="3">
        <f t="shared" si="105"/>
        <v>0.95921387978352224</v>
      </c>
      <c r="BC243" s="3">
        <f t="shared" si="106"/>
        <v>0.96033284868317936</v>
      </c>
      <c r="BD243" s="3">
        <f t="shared" si="107"/>
        <v>1.0260744783458426</v>
      </c>
      <c r="BE243" s="3">
        <f t="shared" si="108"/>
        <v>1.1113537539790492</v>
      </c>
      <c r="BF243" s="3">
        <f t="shared" si="109"/>
        <v>1.0144438444924406</v>
      </c>
      <c r="BH243" s="3">
        <f t="shared" si="110"/>
        <v>-1.3518013122337816E-2</v>
      </c>
      <c r="BI243" s="3">
        <f t="shared" si="111"/>
        <v>-1.2259947333214165E-2</v>
      </c>
      <c r="BJ243" s="3">
        <f t="shared" si="112"/>
        <v>-9.9221308491576968E-3</v>
      </c>
      <c r="BK243" s="3">
        <f t="shared" si="113"/>
        <v>-5.3816259449203513E-3</v>
      </c>
    </row>
    <row r="244" spans="1:63" x14ac:dyDescent="0.2">
      <c r="A244" s="3" t="s">
        <v>251</v>
      </c>
      <c r="B244" s="3">
        <v>71.849999999999994</v>
      </c>
      <c r="C244" s="3">
        <v>80.8</v>
      </c>
      <c r="D244" s="3">
        <v>15.1</v>
      </c>
      <c r="E244" s="3">
        <v>59</v>
      </c>
      <c r="F244" s="3">
        <v>55.95</v>
      </c>
      <c r="G244" s="3">
        <v>162.9</v>
      </c>
      <c r="H244" s="3">
        <v>38.5</v>
      </c>
      <c r="I244" s="3">
        <v>114.2</v>
      </c>
      <c r="J244" s="3">
        <v>10.54</v>
      </c>
      <c r="K244" s="3">
        <v>71.349999999999994</v>
      </c>
      <c r="L244" s="3">
        <v>26993.039063</v>
      </c>
      <c r="N244" s="3">
        <f t="shared" si="94"/>
        <v>4.8594333737472795E-3</v>
      </c>
      <c r="O244" s="3">
        <f t="shared" si="95"/>
        <v>-1.2383902511468037E-3</v>
      </c>
      <c r="P244" s="3">
        <f t="shared" si="96"/>
        <v>-3.981425299185215E-3</v>
      </c>
      <c r="Q244" s="3">
        <f t="shared" si="97"/>
        <v>-3.3955890011387879E-3</v>
      </c>
      <c r="R244" s="3">
        <f t="shared" si="98"/>
        <v>-1.5308718599065685E-2</v>
      </c>
      <c r="S244" s="3">
        <f t="shared" si="99"/>
        <v>-4.9230868663689975E-3</v>
      </c>
      <c r="T244" s="3">
        <f t="shared" si="100"/>
        <v>-7.8227256812093415E-3</v>
      </c>
      <c r="U244" s="3">
        <f t="shared" si="101"/>
        <v>6.9808311413401825E-3</v>
      </c>
      <c r="V244" s="3">
        <f t="shared" si="102"/>
        <v>-1.7225306281879238E-2</v>
      </c>
      <c r="W244" s="3">
        <f t="shared" si="103"/>
        <v>1.4005604530309412E-3</v>
      </c>
      <c r="X244" s="3">
        <f t="shared" si="104"/>
        <v>-2.9353982973994164E-3</v>
      </c>
      <c r="AZ244" s="3" t="s">
        <v>249</v>
      </c>
      <c r="BA244" s="3">
        <v>239</v>
      </c>
      <c r="BB244" s="3">
        <f t="shared" si="105"/>
        <v>0.94633446216556649</v>
      </c>
      <c r="BC244" s="3">
        <f t="shared" si="106"/>
        <v>0.94863109653869715</v>
      </c>
      <c r="BD244" s="3">
        <f t="shared" si="107"/>
        <v>1.0159439743150878</v>
      </c>
      <c r="BE244" s="3">
        <f t="shared" si="108"/>
        <v>1.1053889284087228</v>
      </c>
      <c r="BF244" s="3">
        <f t="shared" si="109"/>
        <v>0.99849588723627003</v>
      </c>
      <c r="BH244" s="3">
        <f t="shared" si="110"/>
        <v>1.0143450176988006E-3</v>
      </c>
      <c r="BI244" s="3">
        <f t="shared" si="111"/>
        <v>8.5848410372255796E-4</v>
      </c>
      <c r="BJ244" s="3">
        <f t="shared" si="112"/>
        <v>-3.8749029564078691E-4</v>
      </c>
      <c r="BK244" s="3">
        <f t="shared" si="113"/>
        <v>-2.3968160046266979E-3</v>
      </c>
    </row>
    <row r="245" spans="1:63" x14ac:dyDescent="0.2">
      <c r="A245" s="3" t="s">
        <v>252</v>
      </c>
      <c r="B245" s="3">
        <v>72.2</v>
      </c>
      <c r="C245" s="3">
        <v>80.7</v>
      </c>
      <c r="D245" s="3">
        <v>15.04</v>
      </c>
      <c r="E245" s="3">
        <v>58.8</v>
      </c>
      <c r="F245" s="3">
        <v>55.1</v>
      </c>
      <c r="G245" s="3">
        <v>162.1</v>
      </c>
      <c r="H245" s="3">
        <v>38.200000000000003</v>
      </c>
      <c r="I245" s="3">
        <v>115</v>
      </c>
      <c r="J245" s="3">
        <v>10.36</v>
      </c>
      <c r="K245" s="3">
        <v>71.45</v>
      </c>
      <c r="L245" s="3">
        <v>26913.919922000001</v>
      </c>
      <c r="N245" s="3">
        <f t="shared" si="94"/>
        <v>-6.2521912590502993E-3</v>
      </c>
      <c r="O245" s="3">
        <f t="shared" si="95"/>
        <v>1.8570107472122288E-3</v>
      </c>
      <c r="P245" s="3">
        <f t="shared" si="96"/>
        <v>5.3050522296933522E-3</v>
      </c>
      <c r="Q245" s="3">
        <f t="shared" si="97"/>
        <v>2.5477720787989711E-3</v>
      </c>
      <c r="R245" s="3">
        <f t="shared" si="98"/>
        <v>-1.8165309263977747E-3</v>
      </c>
      <c r="S245" s="3">
        <f t="shared" si="99"/>
        <v>-1.8524241172386269E-3</v>
      </c>
      <c r="T245" s="3">
        <f t="shared" si="100"/>
        <v>0</v>
      </c>
      <c r="U245" s="3">
        <f t="shared" si="101"/>
        <v>-8.6994350854041613E-4</v>
      </c>
      <c r="V245" s="3">
        <f t="shared" si="102"/>
        <v>1.1516442061559218E-2</v>
      </c>
      <c r="W245" s="3">
        <f t="shared" si="103"/>
        <v>3.4928432296990053E-3</v>
      </c>
      <c r="X245" s="3">
        <f t="shared" si="104"/>
        <v>1.4880873608689171E-3</v>
      </c>
      <c r="AZ245" s="3" t="s">
        <v>250</v>
      </c>
      <c r="BA245" s="3">
        <v>240</v>
      </c>
      <c r="BB245" s="3">
        <f t="shared" si="105"/>
        <v>0.94729485881677422</v>
      </c>
      <c r="BC245" s="3">
        <f t="shared" si="106"/>
        <v>0.94944583092359369</v>
      </c>
      <c r="BD245" s="3">
        <f t="shared" si="107"/>
        <v>1.0155503821456238</v>
      </c>
      <c r="BE245" s="3">
        <f t="shared" si="108"/>
        <v>1.1027426870773909</v>
      </c>
      <c r="BF245" s="3">
        <f t="shared" si="109"/>
        <v>1.0033323616814585</v>
      </c>
      <c r="BH245" s="3">
        <f t="shared" si="110"/>
        <v>1.4555414377736352E-2</v>
      </c>
      <c r="BI245" s="3">
        <f t="shared" si="111"/>
        <v>1.3563143919213184E-2</v>
      </c>
      <c r="BJ245" s="3">
        <f t="shared" si="112"/>
        <v>1.0230417391068714E-2</v>
      </c>
      <c r="BK245" s="3">
        <f t="shared" si="113"/>
        <v>4.8062418528475592E-3</v>
      </c>
    </row>
    <row r="246" spans="1:63" x14ac:dyDescent="0.2">
      <c r="A246" s="3" t="s">
        <v>253</v>
      </c>
      <c r="B246" s="3">
        <v>71.75</v>
      </c>
      <c r="C246" s="3">
        <v>80.849999999999994</v>
      </c>
      <c r="D246" s="3">
        <v>15.12</v>
      </c>
      <c r="E246" s="3">
        <v>58.95</v>
      </c>
      <c r="F246" s="3">
        <v>55</v>
      </c>
      <c r="G246" s="3">
        <v>161.80000000000001</v>
      </c>
      <c r="H246" s="3">
        <v>38.200000000000003</v>
      </c>
      <c r="I246" s="3">
        <v>114.9</v>
      </c>
      <c r="J246" s="3">
        <v>10.48</v>
      </c>
      <c r="K246" s="3">
        <v>71.7</v>
      </c>
      <c r="L246" s="3">
        <v>26954</v>
      </c>
      <c r="N246" s="3">
        <f t="shared" si="94"/>
        <v>9.0184447519403577E-3</v>
      </c>
      <c r="O246" s="3">
        <f t="shared" si="95"/>
        <v>4.3196611445166511E-3</v>
      </c>
      <c r="P246" s="3">
        <f t="shared" si="96"/>
        <v>-5.3050522296933522E-3</v>
      </c>
      <c r="Q246" s="3">
        <f t="shared" si="97"/>
        <v>-2.5477720787989711E-3</v>
      </c>
      <c r="R246" s="3">
        <f t="shared" si="98"/>
        <v>7.246408520766856E-3</v>
      </c>
      <c r="S246" s="3">
        <f t="shared" si="99"/>
        <v>-2.4752487885431051E-3</v>
      </c>
      <c r="T246" s="3">
        <f t="shared" si="100"/>
        <v>-3.934431304834618E-3</v>
      </c>
      <c r="U246" s="3">
        <f t="shared" si="101"/>
        <v>-1.7421607193846E-3</v>
      </c>
      <c r="V246" s="3">
        <f t="shared" si="102"/>
        <v>-5.7416425676750649E-3</v>
      </c>
      <c r="W246" s="3">
        <f t="shared" si="103"/>
        <v>-2.7932979056135565E-3</v>
      </c>
      <c r="X246" s="3">
        <f t="shared" si="104"/>
        <v>-2.2385179706709835E-3</v>
      </c>
      <c r="AZ246" s="3" t="s">
        <v>251</v>
      </c>
      <c r="BA246" s="3">
        <v>241</v>
      </c>
      <c r="BB246" s="3">
        <f t="shared" si="105"/>
        <v>0.96118396365147252</v>
      </c>
      <c r="BC246" s="3">
        <f t="shared" si="106"/>
        <v>0.96241102702762804</v>
      </c>
      <c r="BD246" s="3">
        <f t="shared" si="107"/>
        <v>1.0259932126138693</v>
      </c>
      <c r="BE246" s="3">
        <f t="shared" si="108"/>
        <v>1.1080554922190291</v>
      </c>
      <c r="BF246" s="3">
        <f t="shared" si="109"/>
        <v>1.0183458576777613</v>
      </c>
      <c r="BH246" s="3">
        <f t="shared" si="110"/>
        <v>-4.3278434829187792E-3</v>
      </c>
      <c r="BI246" s="3">
        <f t="shared" si="111"/>
        <v>-4.6456773142433821E-3</v>
      </c>
      <c r="BJ246" s="3">
        <f t="shared" si="112"/>
        <v>-8.0345590262263268E-3</v>
      </c>
      <c r="BK246" s="3">
        <f t="shared" si="113"/>
        <v>-1.2764952616114891E-2</v>
      </c>
    </row>
    <row r="247" spans="1:63" x14ac:dyDescent="0.2">
      <c r="A247" s="3" t="s">
        <v>254</v>
      </c>
      <c r="B247" s="3">
        <v>72.400000000000006</v>
      </c>
      <c r="C247" s="3">
        <v>81.2</v>
      </c>
      <c r="D247" s="3">
        <v>15.04</v>
      </c>
      <c r="E247" s="3">
        <v>58.8</v>
      </c>
      <c r="F247" s="3">
        <v>55.4</v>
      </c>
      <c r="G247" s="3">
        <v>161.4</v>
      </c>
      <c r="H247" s="3">
        <v>38.049999999999997</v>
      </c>
      <c r="I247" s="3">
        <v>114.7</v>
      </c>
      <c r="J247" s="3">
        <v>10.42</v>
      </c>
      <c r="K247" s="3">
        <v>71.5</v>
      </c>
      <c r="L247" s="3">
        <v>26893.730468999998</v>
      </c>
      <c r="N247" s="3">
        <f t="shared" si="94"/>
        <v>-1.811896258247625E-2</v>
      </c>
      <c r="O247" s="3">
        <f t="shared" si="95"/>
        <v>-6.1766718917288799E-3</v>
      </c>
      <c r="P247" s="3">
        <f t="shared" si="96"/>
        <v>-8.0107237460786962E-3</v>
      </c>
      <c r="Q247" s="3">
        <f t="shared" si="97"/>
        <v>-1.1976191046715101E-2</v>
      </c>
      <c r="R247" s="3">
        <f t="shared" si="98"/>
        <v>-1.7296744374268425E-2</v>
      </c>
      <c r="S247" s="3">
        <f t="shared" si="99"/>
        <v>-1.121507082013995E-2</v>
      </c>
      <c r="T247" s="3">
        <f t="shared" si="100"/>
        <v>-1.0568130061792136E-2</v>
      </c>
      <c r="U247" s="3">
        <f t="shared" si="101"/>
        <v>-6.999153682188286E-3</v>
      </c>
      <c r="V247" s="3">
        <f t="shared" si="102"/>
        <v>-1.9380451549662503E-2</v>
      </c>
      <c r="W247" s="3">
        <f t="shared" si="103"/>
        <v>-1.4794211355272147E-2</v>
      </c>
      <c r="X247" s="3">
        <f t="shared" si="104"/>
        <v>-2.0558123211223744E-2</v>
      </c>
      <c r="AZ247" s="3" t="s">
        <v>252</v>
      </c>
      <c r="BA247" s="3">
        <v>242</v>
      </c>
      <c r="BB247" s="3">
        <f t="shared" si="105"/>
        <v>0.95703309852467711</v>
      </c>
      <c r="BC247" s="3">
        <f t="shared" si="106"/>
        <v>0.95795034541871749</v>
      </c>
      <c r="BD247" s="3">
        <f t="shared" si="107"/>
        <v>1.0177828371276139</v>
      </c>
      <c r="BE247" s="3">
        <f t="shared" si="108"/>
        <v>1.0940011089722095</v>
      </c>
      <c r="BF247" s="3">
        <f t="shared" si="109"/>
        <v>1.0153609900119782</v>
      </c>
      <c r="BH247" s="3">
        <f t="shared" si="110"/>
        <v>1.4523064307326097E-3</v>
      </c>
      <c r="BI247" s="3">
        <f t="shared" si="111"/>
        <v>1.1150293451438753E-3</v>
      </c>
      <c r="BJ247" s="3">
        <f t="shared" si="112"/>
        <v>5.5797657477170762E-4</v>
      </c>
      <c r="BK247" s="3">
        <f t="shared" si="113"/>
        <v>-9.2175208806860587E-4</v>
      </c>
    </row>
    <row r="248" spans="1:63" x14ac:dyDescent="0.2">
      <c r="A248" s="3" t="s">
        <v>255</v>
      </c>
      <c r="B248" s="3">
        <v>71.099999999999994</v>
      </c>
      <c r="C248" s="3">
        <v>80.7</v>
      </c>
      <c r="D248" s="3">
        <v>14.92</v>
      </c>
      <c r="E248" s="3">
        <v>58.1</v>
      </c>
      <c r="F248" s="3">
        <v>54.45</v>
      </c>
      <c r="G248" s="3">
        <v>159.6</v>
      </c>
      <c r="H248" s="3">
        <v>37.65</v>
      </c>
      <c r="I248" s="3">
        <v>113.9</v>
      </c>
      <c r="J248" s="3">
        <v>10.220000000000001</v>
      </c>
      <c r="K248" s="3">
        <v>70.45</v>
      </c>
      <c r="L248" s="3">
        <v>26346.490234000001</v>
      </c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AZ248" s="3" t="s">
        <v>253</v>
      </c>
      <c r="BA248" s="3">
        <v>243</v>
      </c>
      <c r="BB248" s="3">
        <f t="shared" si="105"/>
        <v>0.9584240136210822</v>
      </c>
      <c r="BC248" s="3">
        <f t="shared" si="106"/>
        <v>0.95901908389170054</v>
      </c>
      <c r="BD248" s="3">
        <f t="shared" si="107"/>
        <v>1.0183508945755722</v>
      </c>
      <c r="BE248" s="3">
        <f t="shared" si="108"/>
        <v>1.0929931757692961</v>
      </c>
      <c r="BF248" s="3">
        <f t="shared" si="109"/>
        <v>1.0168730606354985</v>
      </c>
      <c r="BH248" s="3">
        <f t="shared" si="110"/>
        <v>-4.5880704200969291E-4</v>
      </c>
      <c r="BI248" s="3">
        <f t="shared" si="111"/>
        <v>2.1856722166684744E-4</v>
      </c>
      <c r="BJ248" s="3">
        <f t="shared" si="112"/>
        <v>3.4580829887769574E-3</v>
      </c>
      <c r="BK248" s="3">
        <f t="shared" si="113"/>
        <v>9.0071383487478063E-3</v>
      </c>
    </row>
    <row r="249" spans="1:63" x14ac:dyDescent="0.2">
      <c r="AZ249" s="3" t="s">
        <v>254</v>
      </c>
      <c r="BA249" s="3">
        <v>244</v>
      </c>
      <c r="BB249" s="3">
        <f t="shared" si="105"/>
        <v>0.95798438279497311</v>
      </c>
      <c r="BC249" s="3">
        <f t="shared" si="106"/>
        <v>0.95922871693701384</v>
      </c>
      <c r="BD249" s="3">
        <f t="shared" si="107"/>
        <v>1.0218785323974913</v>
      </c>
      <c r="BE249" s="3">
        <f t="shared" si="108"/>
        <v>1.1028823864038477</v>
      </c>
      <c r="BF249" s="3">
        <f t="shared" si="109"/>
        <v>1.0145993178718629</v>
      </c>
      <c r="BH249" s="3">
        <f t="shared" si="110"/>
        <v>-1.2360190440564016E-2</v>
      </c>
      <c r="BI249" s="3">
        <f t="shared" si="111"/>
        <v>-1.2340280074528656E-2</v>
      </c>
      <c r="BJ249" s="3">
        <f t="shared" si="112"/>
        <v>-1.2311330502088583E-2</v>
      </c>
      <c r="BK249" s="3">
        <f t="shared" si="113"/>
        <v>-1.3058505970033898E-2</v>
      </c>
    </row>
    <row r="250" spans="1:63" x14ac:dyDescent="0.2">
      <c r="AZ250" s="3" t="s">
        <v>255</v>
      </c>
      <c r="BA250" s="3">
        <v>245</v>
      </c>
      <c r="BB250" s="3">
        <f t="shared" si="105"/>
        <v>0.94621639051755835</v>
      </c>
      <c r="BC250" s="3">
        <f t="shared" si="106"/>
        <v>0.94746430328665265</v>
      </c>
      <c r="BD250" s="3">
        <f t="shared" si="107"/>
        <v>1.0093749737027062</v>
      </c>
      <c r="BE250" s="3">
        <f t="shared" si="108"/>
        <v>1.0885740164706625</v>
      </c>
      <c r="BF250" s="3">
        <f t="shared" si="109"/>
        <v>0.99395400167881764</v>
      </c>
      <c r="BH250" s="6"/>
      <c r="BI250" s="6"/>
      <c r="BJ250" s="6"/>
      <c r="BK250" s="6"/>
    </row>
  </sheetData>
  <sortState xmlns:xlrd2="http://schemas.microsoft.com/office/spreadsheetml/2017/richdata2" columnSort="1" ref="AA56:AJ66">
    <sortCondition descending="1" ref="AA56:AJ56"/>
  </sortState>
  <phoneticPr fontId="2" type="noConversion"/>
  <pageMargins left="0.7" right="0.7" top="0.75" bottom="0.75" header="0.3" footer="0.3"/>
  <pageSetup paperSize="9" orientation="portrait" r:id="rId1"/>
  <ignoredErrors>
    <ignoredError sqref="AM3:AV3" numberStoredAsText="1"/>
    <ignoredError sqref="AB69:AI69 AW17:AW20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02F27-7D79-4F2A-BB57-9751059F5E18}">
  <dimension ref="A1:AL249"/>
  <sheetViews>
    <sheetView tabSelected="1" topLeftCell="U1" workbookViewId="0">
      <selection activeCell="AN18" sqref="AN18"/>
    </sheetView>
  </sheetViews>
  <sheetFormatPr defaultRowHeight="12.75" x14ac:dyDescent="0.2"/>
  <cols>
    <col min="1" max="1" width="10.42578125" bestFit="1" customWidth="1"/>
    <col min="2" max="11" width="9.28515625" bestFit="1" customWidth="1"/>
    <col min="12" max="12" width="11" bestFit="1" customWidth="1"/>
    <col min="26" max="26" width="10.42578125" bestFit="1" customWidth="1"/>
    <col min="27" max="27" width="10.42578125" customWidth="1"/>
    <col min="28" max="32" width="9.140625" style="25"/>
    <col min="34" max="34" width="9.140625" customWidth="1"/>
  </cols>
  <sheetData>
    <row r="1" spans="1:38" ht="13.5" thickBot="1" x14ac:dyDescent="0.25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N1" s="8" t="s">
        <v>278</v>
      </c>
      <c r="O1" s="2"/>
      <c r="P1" s="2"/>
      <c r="Q1" s="2"/>
      <c r="R1" s="2"/>
      <c r="S1" s="2"/>
      <c r="T1" s="2"/>
      <c r="U1" s="2"/>
      <c r="V1" s="2"/>
      <c r="W1" s="2"/>
      <c r="X1" s="2"/>
      <c r="Y1" s="3"/>
      <c r="AA1" s="3"/>
      <c r="AB1" s="2" t="s">
        <v>2</v>
      </c>
      <c r="AC1" s="10" t="s">
        <v>302</v>
      </c>
      <c r="AD1" s="12" t="s">
        <v>260</v>
      </c>
      <c r="AE1" s="14" t="s">
        <v>286</v>
      </c>
      <c r="AF1" s="5" t="s">
        <v>299</v>
      </c>
      <c r="AG1" s="3"/>
      <c r="AH1" s="3"/>
      <c r="AI1" s="3"/>
      <c r="AJ1" s="3"/>
      <c r="AK1" s="3"/>
    </row>
    <row r="2" spans="1:38" ht="13.5" thickBot="1" x14ac:dyDescent="0.25">
      <c r="A2" s="5" t="s">
        <v>3</v>
      </c>
      <c r="B2" s="5" t="s">
        <v>268</v>
      </c>
      <c r="C2" s="5" t="s">
        <v>269</v>
      </c>
      <c r="D2" s="5" t="s">
        <v>270</v>
      </c>
      <c r="E2" s="5" t="s">
        <v>271</v>
      </c>
      <c r="F2" s="5" t="s">
        <v>272</v>
      </c>
      <c r="G2" s="5" t="s">
        <v>273</v>
      </c>
      <c r="H2" s="5" t="s">
        <v>274</v>
      </c>
      <c r="I2" s="5" t="s">
        <v>275</v>
      </c>
      <c r="J2" s="5" t="s">
        <v>276</v>
      </c>
      <c r="K2" s="5" t="s">
        <v>277</v>
      </c>
      <c r="L2" s="5" t="s">
        <v>297</v>
      </c>
      <c r="N2" s="8"/>
      <c r="O2" s="2" t="s">
        <v>268</v>
      </c>
      <c r="P2" s="2" t="s">
        <v>269</v>
      </c>
      <c r="Q2" s="2" t="s">
        <v>270</v>
      </c>
      <c r="R2" s="2" t="s">
        <v>271</v>
      </c>
      <c r="S2" s="2" t="s">
        <v>272</v>
      </c>
      <c r="T2" s="2" t="s">
        <v>273</v>
      </c>
      <c r="U2" s="2" t="s">
        <v>274</v>
      </c>
      <c r="V2" s="2" t="s">
        <v>275</v>
      </c>
      <c r="W2" s="2" t="s">
        <v>276</v>
      </c>
      <c r="X2" s="2" t="s">
        <v>277</v>
      </c>
      <c r="Y2" s="3"/>
      <c r="AA2" s="3" t="s">
        <v>5</v>
      </c>
      <c r="AB2" s="27">
        <f>AB249/AB5</f>
        <v>0.91570087628343644</v>
      </c>
      <c r="AC2" s="10">
        <f t="shared" ref="AC2:AF2" si="0">AC249/AC5</f>
        <v>0.89394296254492711</v>
      </c>
      <c r="AD2" s="12">
        <f t="shared" si="0"/>
        <v>0.90172738064188962</v>
      </c>
      <c r="AE2" s="14">
        <f t="shared" si="0"/>
        <v>0.85020094253592171</v>
      </c>
      <c r="AF2" s="5">
        <f t="shared" si="0"/>
        <v>1.0170150779829925</v>
      </c>
      <c r="AG2" s="3"/>
      <c r="AH2" s="3" t="s">
        <v>1</v>
      </c>
      <c r="AI2" s="3"/>
      <c r="AJ2" s="3"/>
      <c r="AK2" s="3"/>
    </row>
    <row r="3" spans="1:38" ht="13.5" thickBot="1" x14ac:dyDescent="0.25">
      <c r="A3" s="24">
        <v>43801</v>
      </c>
      <c r="B3" s="25">
        <v>57.792186999999998</v>
      </c>
      <c r="C3" s="25">
        <v>66.608192000000003</v>
      </c>
      <c r="D3" s="25">
        <v>11.631102</v>
      </c>
      <c r="E3" s="25">
        <v>51.922500999999997</v>
      </c>
      <c r="F3" s="25">
        <v>42.141280999999999</v>
      </c>
      <c r="G3" s="25">
        <v>135.83429000000001</v>
      </c>
      <c r="H3" s="25">
        <v>29.416452</v>
      </c>
      <c r="I3" s="25">
        <v>92.430144999999996</v>
      </c>
      <c r="J3" s="25">
        <v>32.208061000000001</v>
      </c>
      <c r="K3" s="25">
        <v>44.718986999999998</v>
      </c>
      <c r="L3" s="25">
        <v>26444.720702999999</v>
      </c>
      <c r="N3" s="7" t="s">
        <v>261</v>
      </c>
      <c r="O3" s="3">
        <v>1.2224938875305626E-3</v>
      </c>
      <c r="P3" s="3">
        <v>1.1594202898550724E-3</v>
      </c>
      <c r="Q3" s="3">
        <v>6.9710700592540958E-3</v>
      </c>
      <c r="R3" s="3">
        <v>1.4947683109118087E-3</v>
      </c>
      <c r="S3" s="3">
        <v>1.8867924528301887E-3</v>
      </c>
      <c r="T3" s="3">
        <v>5.5370985603543752E-4</v>
      </c>
      <c r="U3" s="3">
        <v>2.7363524421945549E-3</v>
      </c>
      <c r="V3" s="3">
        <v>8.9686098654708521E-4</v>
      </c>
      <c r="W3" s="3">
        <v>9.5057034220532334E-3</v>
      </c>
      <c r="X3" s="3">
        <v>1.1560693641618498E-3</v>
      </c>
      <c r="Y3" s="3"/>
      <c r="AA3" s="3" t="s">
        <v>300</v>
      </c>
      <c r="AB3" s="2">
        <f>STDEV(AB5:AB249)/AVERAGE(AB5:AB249)</f>
        <v>8.7877721894521144E-2</v>
      </c>
      <c r="AC3" s="10">
        <f t="shared" ref="AC3:AF3" si="1">STDEV(AC5:AC249)/AVERAGE(AC5:AC249)</f>
        <v>9.4332864851424822E-2</v>
      </c>
      <c r="AD3" s="28">
        <f t="shared" si="1"/>
        <v>6.8854914722167454E-2</v>
      </c>
      <c r="AE3" s="14">
        <f t="shared" si="1"/>
        <v>7.6859413241388438E-2</v>
      </c>
      <c r="AF3" s="5">
        <f t="shared" si="1"/>
        <v>6.2435805881770126E-2</v>
      </c>
      <c r="AG3" s="3"/>
      <c r="AH3" s="2" t="s">
        <v>2</v>
      </c>
      <c r="AI3" s="10" t="s">
        <v>302</v>
      </c>
      <c r="AJ3" s="12" t="s">
        <v>260</v>
      </c>
      <c r="AK3" s="14" t="s">
        <v>286</v>
      </c>
      <c r="AL3" s="5" t="s">
        <v>299</v>
      </c>
    </row>
    <row r="4" spans="1:38" ht="13.5" thickBot="1" x14ac:dyDescent="0.25">
      <c r="A4" s="24">
        <v>43802</v>
      </c>
      <c r="B4" s="25">
        <v>57.385196999999998</v>
      </c>
      <c r="C4" s="25">
        <v>66.69162</v>
      </c>
      <c r="D4" s="25">
        <v>11.615489999999999</v>
      </c>
      <c r="E4" s="25">
        <v>51.522418999999999</v>
      </c>
      <c r="F4" s="25">
        <v>42.721744999999999</v>
      </c>
      <c r="G4" s="25">
        <v>135.49452199999999</v>
      </c>
      <c r="H4" s="25">
        <v>29.494790999999999</v>
      </c>
      <c r="I4" s="25">
        <v>92.185401999999996</v>
      </c>
      <c r="J4" s="25">
        <v>32.334865999999998</v>
      </c>
      <c r="K4" s="25">
        <v>43.930573000000003</v>
      </c>
      <c r="L4" s="25">
        <v>26391.300781000002</v>
      </c>
      <c r="N4" s="7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AA4" s="3" t="s">
        <v>282</v>
      </c>
      <c r="AB4" s="2">
        <f>MIN(AB25:AB249)/AB5</f>
        <v>0.763600618259341</v>
      </c>
      <c r="AC4" s="10">
        <f t="shared" ref="AC4:AF4" si="2">MIN(AC25:AC249)/AC5</f>
        <v>0.76533416010084776</v>
      </c>
      <c r="AD4" s="12">
        <f t="shared" si="2"/>
        <v>0.78782180901046994</v>
      </c>
      <c r="AE4" s="23">
        <f t="shared" si="2"/>
        <v>0.8251473129207465</v>
      </c>
      <c r="AF4" s="5">
        <f t="shared" si="2"/>
        <v>0.82043335237564829</v>
      </c>
      <c r="AG4" s="3" t="s">
        <v>298</v>
      </c>
      <c r="AH4" s="2">
        <f>_xlfn.COVARIANCE.P(AH5:AH248,$AL5:$AL248)/_xlfn.VAR.P($AL5:$AL248)</f>
        <v>0.88187362595995078</v>
      </c>
      <c r="AI4" s="10">
        <f t="shared" ref="AI4:AK4" si="3">_xlfn.COVARIANCE.P(AI5:AI248,$AL5:$AL248)/_xlfn.VAR.P($AL5:$AL248)</f>
        <v>0.84219524345877783</v>
      </c>
      <c r="AJ4" s="12">
        <f t="shared" si="3"/>
        <v>0.6500324716105278</v>
      </c>
      <c r="AK4" s="23">
        <f t="shared" si="3"/>
        <v>0.26083293666047092</v>
      </c>
      <c r="AL4" s="5">
        <f>_xlfn.COVARIANCE.P(AL5:AL248,$AL5:$AL248)/_xlfn.VAR.P($AL5:$AL248)</f>
        <v>1.0000000000000004</v>
      </c>
    </row>
    <row r="5" spans="1:38" x14ac:dyDescent="0.2">
      <c r="A5" s="24">
        <v>43803</v>
      </c>
      <c r="B5" s="25">
        <v>55.960746999999998</v>
      </c>
      <c r="C5" s="25">
        <v>66.024283999999994</v>
      </c>
      <c r="D5" s="25">
        <v>11.506205</v>
      </c>
      <c r="E5" s="25">
        <v>50.677788</v>
      </c>
      <c r="F5" s="25">
        <v>42.334769999999999</v>
      </c>
      <c r="G5" s="25">
        <v>133.03097500000001</v>
      </c>
      <c r="H5" s="25">
        <v>29.103096000000001</v>
      </c>
      <c r="I5" s="25">
        <v>90.472221000000005</v>
      </c>
      <c r="J5" s="25">
        <v>31.669149000000001</v>
      </c>
      <c r="K5" s="25">
        <v>43.772891999999999</v>
      </c>
      <c r="L5" s="25">
        <v>26062.560547000001</v>
      </c>
      <c r="N5" s="9" t="s">
        <v>301</v>
      </c>
      <c r="O5" s="10"/>
      <c r="P5" s="10"/>
      <c r="Q5" s="10"/>
      <c r="R5" s="10"/>
      <c r="S5" s="10"/>
      <c r="T5" s="10"/>
      <c r="U5" s="10"/>
      <c r="V5" s="10"/>
      <c r="W5" s="10"/>
      <c r="X5" s="10"/>
      <c r="Z5" s="24">
        <v>43801</v>
      </c>
      <c r="AA5" s="26">
        <v>0</v>
      </c>
      <c r="AB5" s="25">
        <f>SUMPRODUCT(O$3:X$3,B3:K3)/SUMPRODUCT(O$3:X$3,B$3:K$3)</f>
        <v>1</v>
      </c>
      <c r="AC5" s="25">
        <f>SUMPRODUCT(O$7:X$7,B3:K3)/SUMPRODUCT(O$7:X$7,B$3:K$3)</f>
        <v>1</v>
      </c>
      <c r="AD5" s="25">
        <f>SUMPRODUCT(O$11:X$11,B3:K3)/SUMPRODUCT(O$11:X$11,B$3:K$3)</f>
        <v>1</v>
      </c>
      <c r="AE5" s="25">
        <f>SUMPRODUCT(O$15:X$15,B3:K3)/SUMPRODUCT(O$15:X$15,B$3:K$3)</f>
        <v>1</v>
      </c>
      <c r="AF5" s="25">
        <f>L3/L$3</f>
        <v>1</v>
      </c>
      <c r="AH5" s="25">
        <f>LN(AB6)-LN(AB5)</f>
        <v>8.9739883019374745E-5</v>
      </c>
      <c r="AI5" s="25">
        <f t="shared" ref="AI5:AK20" si="4">LN(AC6)-LN(AC5)</f>
        <v>2.1555482885384126E-4</v>
      </c>
      <c r="AJ5" s="25">
        <f t="shared" si="4"/>
        <v>6.1907107254027928E-3</v>
      </c>
      <c r="AK5" s="25">
        <f t="shared" si="4"/>
        <v>1.843096435562324E-2</v>
      </c>
      <c r="AL5" s="25">
        <f>LN(L4)-LN(L3)</f>
        <v>-2.0221030540152896E-3</v>
      </c>
    </row>
    <row r="6" spans="1:38" x14ac:dyDescent="0.2">
      <c r="A6" s="24">
        <v>43804</v>
      </c>
      <c r="B6" s="25">
        <v>56.367728999999997</v>
      </c>
      <c r="C6" s="25">
        <v>66.524780000000007</v>
      </c>
      <c r="D6" s="25">
        <v>11.584265</v>
      </c>
      <c r="E6" s="25">
        <v>50.855606000000002</v>
      </c>
      <c r="F6" s="25">
        <v>42.373469999999998</v>
      </c>
      <c r="G6" s="25">
        <v>134.30523700000001</v>
      </c>
      <c r="H6" s="25">
        <v>29.377276999999999</v>
      </c>
      <c r="I6" s="25">
        <v>91.288016999999996</v>
      </c>
      <c r="J6" s="25">
        <v>31.827652</v>
      </c>
      <c r="K6" s="25">
        <v>44.592841999999997</v>
      </c>
      <c r="L6" s="25">
        <v>26217.039063</v>
      </c>
      <c r="N6" s="9"/>
      <c r="O6" s="10" t="s">
        <v>268</v>
      </c>
      <c r="P6" s="10" t="s">
        <v>269</v>
      </c>
      <c r="Q6" s="10" t="s">
        <v>270</v>
      </c>
      <c r="R6" s="10" t="s">
        <v>271</v>
      </c>
      <c r="S6" s="10" t="s">
        <v>272</v>
      </c>
      <c r="T6" s="10" t="s">
        <v>273</v>
      </c>
      <c r="U6" s="10" t="s">
        <v>274</v>
      </c>
      <c r="V6" s="10" t="s">
        <v>275</v>
      </c>
      <c r="W6" s="10" t="s">
        <v>276</v>
      </c>
      <c r="X6" s="10" t="s">
        <v>277</v>
      </c>
      <c r="Z6" s="24">
        <v>43802</v>
      </c>
      <c r="AA6" s="26">
        <v>1</v>
      </c>
      <c r="AB6" s="25">
        <f t="shared" ref="AB6:AB69" si="5">SUMPRODUCT(O$3:X$3,B4:K4)/SUMPRODUCT(O$3:X$3,B$3:K$3)</f>
        <v>1.0000897439097631</v>
      </c>
      <c r="AC6" s="25">
        <f t="shared" ref="AC6:AC69" si="6">SUMPRODUCT(O$7:X$7,B4:K4)/SUMPRODUCT(O$7:X$7,B$3:K$3)</f>
        <v>1.0002155780624653</v>
      </c>
      <c r="AD6" s="25">
        <f t="shared" ref="AD6:AD69" si="7">SUMPRODUCT(O$11:X$11,B4:K4)/SUMPRODUCT(O$11:X$11,B$3:K$3)</f>
        <v>1.0062099127793822</v>
      </c>
      <c r="AE6" s="25">
        <f t="shared" ref="AE6:AE69" si="8">SUMPRODUCT(O$15:X$15,B4:K4)/SUMPRODUCT(O$15:X$15,B$3:K$3)</f>
        <v>1.0186018629062625</v>
      </c>
      <c r="AF6" s="25">
        <f t="shared" ref="AF6:AF69" si="9">L4/L$3</f>
        <v>0.99797994001903234</v>
      </c>
      <c r="AH6" s="25">
        <f t="shared" ref="AH6:AK69" si="10">LN(AB7)-LN(AB6)</f>
        <v>-1.6160687813629348E-2</v>
      </c>
      <c r="AI6" s="25">
        <f t="shared" si="4"/>
        <v>-1.524843394832451E-2</v>
      </c>
      <c r="AJ6" s="25">
        <f t="shared" si="4"/>
        <v>-1.1845698566460672E-2</v>
      </c>
      <c r="AK6" s="25">
        <f t="shared" si="4"/>
        <v>-3.18154633346515E-3</v>
      </c>
      <c r="AL6" s="25">
        <f t="shared" ref="AL6:AL69" si="11">LN(L5)-LN(L4)</f>
        <v>-1.2534617276170223E-2</v>
      </c>
    </row>
    <row r="7" spans="1:38" x14ac:dyDescent="0.2">
      <c r="A7" s="24">
        <v>43805</v>
      </c>
      <c r="B7" s="25">
        <v>56.734015999999997</v>
      </c>
      <c r="C7" s="25">
        <v>66.524780000000007</v>
      </c>
      <c r="D7" s="25">
        <v>11.553041</v>
      </c>
      <c r="E7" s="25">
        <v>51.077877000000001</v>
      </c>
      <c r="F7" s="25">
        <v>42.992621999999997</v>
      </c>
      <c r="G7" s="25">
        <v>135.49452199999999</v>
      </c>
      <c r="H7" s="25">
        <v>29.729811000000002</v>
      </c>
      <c r="I7" s="25">
        <v>92.756461999999999</v>
      </c>
      <c r="J7" s="25">
        <v>32.334865999999998</v>
      </c>
      <c r="K7" s="25">
        <v>44.876674999999999</v>
      </c>
      <c r="L7" s="25">
        <v>26498.369140999999</v>
      </c>
      <c r="N7" s="7" t="s">
        <v>261</v>
      </c>
      <c r="O7" s="3">
        <v>1.2352650147379562E-3</v>
      </c>
      <c r="P7" s="3">
        <v>1.3413468973404849E-3</v>
      </c>
      <c r="Q7" s="3">
        <v>8.1587194504178402E-3</v>
      </c>
      <c r="R7" s="3">
        <v>1.852283925089732E-3</v>
      </c>
      <c r="S7" s="3">
        <v>2.7542286462701841E-3</v>
      </c>
      <c r="T7" s="3">
        <v>5.1458109234303118E-4</v>
      </c>
      <c r="U7" s="3">
        <v>2.1851943420881726E-3</v>
      </c>
      <c r="V7" s="3">
        <v>6.6435889851993075E-4</v>
      </c>
      <c r="W7" s="3">
        <v>6.2180647729677043E-3</v>
      </c>
      <c r="X7" s="3">
        <v>9.7172343857104728E-4</v>
      </c>
      <c r="Z7" s="24">
        <v>43803</v>
      </c>
      <c r="AA7" s="26">
        <v>2</v>
      </c>
      <c r="AB7" s="25">
        <f t="shared" si="5"/>
        <v>0.98405750073526788</v>
      </c>
      <c r="AC7" s="25">
        <f t="shared" si="6"/>
        <v>0.98507955052237361</v>
      </c>
      <c r="AD7" s="25">
        <f t="shared" si="7"/>
        <v>0.99436097150520897</v>
      </c>
      <c r="AE7" s="25">
        <f t="shared" si="8"/>
        <v>1.0153662836859494</v>
      </c>
      <c r="AF7" s="25">
        <f t="shared" si="9"/>
        <v>0.98554871649838816</v>
      </c>
      <c r="AH7" s="25">
        <f t="shared" si="10"/>
        <v>6.8058422580928573E-3</v>
      </c>
      <c r="AI7" s="25">
        <f t="shared" si="4"/>
        <v>6.4982831122811467E-3</v>
      </c>
      <c r="AJ7" s="25">
        <f t="shared" si="4"/>
        <v>4.6216392094842722E-3</v>
      </c>
      <c r="AK7" s="25">
        <f t="shared" si="4"/>
        <v>-3.2037568271000086E-5</v>
      </c>
      <c r="AL7" s="25">
        <f t="shared" si="11"/>
        <v>5.9097225972166711E-3</v>
      </c>
    </row>
    <row r="8" spans="1:38" x14ac:dyDescent="0.2">
      <c r="A8" s="24">
        <v>43808</v>
      </c>
      <c r="B8" s="25">
        <v>56.937508000000001</v>
      </c>
      <c r="C8" s="25">
        <v>66.483069999999998</v>
      </c>
      <c r="D8" s="25">
        <v>11.506205</v>
      </c>
      <c r="E8" s="25">
        <v>51.300139999999999</v>
      </c>
      <c r="F8" s="25">
        <v>42.799129000000001</v>
      </c>
      <c r="G8" s="25">
        <v>134.560089</v>
      </c>
      <c r="H8" s="25">
        <v>29.573132000000001</v>
      </c>
      <c r="I8" s="25">
        <v>93.082770999999994</v>
      </c>
      <c r="J8" s="25">
        <v>32.461666000000001</v>
      </c>
      <c r="K8" s="25">
        <v>44.498233999999997</v>
      </c>
      <c r="L8" s="25">
        <v>26494.730468999998</v>
      </c>
      <c r="N8" s="7"/>
      <c r="O8" s="3"/>
      <c r="P8" s="3"/>
      <c r="Q8" s="3"/>
      <c r="R8" s="3"/>
      <c r="S8" s="3"/>
      <c r="T8" s="3"/>
      <c r="U8" s="3"/>
      <c r="V8" s="3"/>
      <c r="W8" s="3"/>
      <c r="X8" s="3"/>
      <c r="Z8" s="24">
        <v>43804</v>
      </c>
      <c r="AA8" s="26">
        <v>3</v>
      </c>
      <c r="AB8" s="25">
        <f t="shared" si="5"/>
        <v>0.99077768316936332</v>
      </c>
      <c r="AC8" s="25">
        <f t="shared" si="6"/>
        <v>0.99150172026896088</v>
      </c>
      <c r="AD8" s="25">
        <f t="shared" si="7"/>
        <v>0.99896718508926785</v>
      </c>
      <c r="AE8" s="25">
        <f t="shared" si="8"/>
        <v>1.0153337543403991</v>
      </c>
      <c r="AF8" s="25">
        <f t="shared" si="9"/>
        <v>0.99139028002764384</v>
      </c>
      <c r="AH8" s="25">
        <f t="shared" si="10"/>
        <v>1.0037249140139612E-2</v>
      </c>
      <c r="AI8" s="25">
        <f t="shared" si="4"/>
        <v>8.9675302209603885E-3</v>
      </c>
      <c r="AJ8" s="25">
        <f t="shared" si="4"/>
        <v>7.6872021730873446E-3</v>
      </c>
      <c r="AK8" s="25">
        <f t="shared" si="4"/>
        <v>3.2727142137003867E-3</v>
      </c>
      <c r="AL8" s="25">
        <f t="shared" si="11"/>
        <v>1.067364394952186E-2</v>
      </c>
    </row>
    <row r="9" spans="1:38" x14ac:dyDescent="0.2">
      <c r="A9" s="24">
        <v>43809</v>
      </c>
      <c r="B9" s="25">
        <v>56.734015999999997</v>
      </c>
      <c r="C9" s="25">
        <v>66.065978999999999</v>
      </c>
      <c r="D9" s="25">
        <v>11.506205</v>
      </c>
      <c r="E9" s="25">
        <v>51.211235000000002</v>
      </c>
      <c r="F9" s="25">
        <v>42.528258999999998</v>
      </c>
      <c r="G9" s="25">
        <v>134.13531499999999</v>
      </c>
      <c r="H9" s="25">
        <v>29.416452</v>
      </c>
      <c r="I9" s="25">
        <v>92.430144999999996</v>
      </c>
      <c r="J9" s="25">
        <v>32.398269999999997</v>
      </c>
      <c r="K9" s="25">
        <v>44.403613999999997</v>
      </c>
      <c r="L9" s="25">
        <v>26436.619140999999</v>
      </c>
      <c r="N9" s="11" t="s">
        <v>279</v>
      </c>
      <c r="O9" s="12"/>
      <c r="P9" s="12"/>
      <c r="Q9" s="12"/>
      <c r="R9" s="12"/>
      <c r="S9" s="12"/>
      <c r="T9" s="12"/>
      <c r="U9" s="12"/>
      <c r="V9" s="12"/>
      <c r="W9" s="12"/>
      <c r="X9" s="12"/>
      <c r="Z9" s="24">
        <v>43805</v>
      </c>
      <c r="AA9" s="26">
        <v>4</v>
      </c>
      <c r="AB9" s="25">
        <f t="shared" si="5"/>
        <v>1.0007724416471306</v>
      </c>
      <c r="AC9" s="25">
        <f t="shared" si="6"/>
        <v>1.0004330279433133</v>
      </c>
      <c r="AD9" s="25">
        <f t="shared" si="7"/>
        <v>1.0066760396052989</v>
      </c>
      <c r="AE9" s="25">
        <f t="shared" si="8"/>
        <v>1.0186620949329352</v>
      </c>
      <c r="AF9" s="25">
        <f t="shared" si="9"/>
        <v>1.002028701252039</v>
      </c>
      <c r="AH9" s="25">
        <f t="shared" si="10"/>
        <v>-4.535725039024564E-5</v>
      </c>
      <c r="AI9" s="25">
        <f t="shared" si="4"/>
        <v>-5.4407168339246385E-4</v>
      </c>
      <c r="AJ9" s="25">
        <f t="shared" si="4"/>
        <v>-2.3700160670223659E-3</v>
      </c>
      <c r="AK9" s="25">
        <f t="shared" si="4"/>
        <v>-6.9807912456633075E-3</v>
      </c>
      <c r="AL9" s="25">
        <f t="shared" si="11"/>
        <v>-1.373262569082101E-4</v>
      </c>
    </row>
    <row r="10" spans="1:38" x14ac:dyDescent="0.2">
      <c r="A10" s="24">
        <v>43810</v>
      </c>
      <c r="B10" s="25">
        <v>56.774712000000001</v>
      </c>
      <c r="C10" s="25">
        <v>66.649918</v>
      </c>
      <c r="D10" s="25">
        <v>11.599878</v>
      </c>
      <c r="E10" s="25">
        <v>51.611317</v>
      </c>
      <c r="F10" s="25">
        <v>42.683044000000002</v>
      </c>
      <c r="G10" s="25">
        <v>133.45573400000001</v>
      </c>
      <c r="H10" s="25">
        <v>29.533961999999999</v>
      </c>
      <c r="I10" s="25">
        <v>92.103813000000002</v>
      </c>
      <c r="J10" s="25">
        <v>32.334865999999998</v>
      </c>
      <c r="K10" s="25">
        <v>44.561306000000002</v>
      </c>
      <c r="L10" s="25">
        <v>26645.429688</v>
      </c>
      <c r="N10" s="11" t="s">
        <v>257</v>
      </c>
      <c r="O10" s="12" t="s">
        <v>268</v>
      </c>
      <c r="P10" s="12" t="s">
        <v>269</v>
      </c>
      <c r="Q10" s="12" t="s">
        <v>270</v>
      </c>
      <c r="R10" s="12" t="s">
        <v>271</v>
      </c>
      <c r="S10" s="12" t="s">
        <v>272</v>
      </c>
      <c r="T10" s="12" t="s">
        <v>273</v>
      </c>
      <c r="U10" s="12" t="s">
        <v>274</v>
      </c>
      <c r="V10" s="12" t="s">
        <v>275</v>
      </c>
      <c r="W10" s="12" t="s">
        <v>276</v>
      </c>
      <c r="X10" s="12" t="s">
        <v>277</v>
      </c>
      <c r="Z10" s="24">
        <v>43808</v>
      </c>
      <c r="AA10" s="26">
        <v>5</v>
      </c>
      <c r="AB10" s="25">
        <f t="shared" si="5"/>
        <v>1.0007270503903303</v>
      </c>
      <c r="AC10" s="25">
        <f t="shared" si="6"/>
        <v>0.9998888687059182</v>
      </c>
      <c r="AD10" s="25">
        <f t="shared" si="7"/>
        <v>1.0042930262225944</v>
      </c>
      <c r="AE10" s="25">
        <f t="shared" si="8"/>
        <v>1.0115757902822062</v>
      </c>
      <c r="AF10" s="25">
        <f t="shared" si="9"/>
        <v>1.001891105849128</v>
      </c>
      <c r="AH10" s="25">
        <f t="shared" si="10"/>
        <v>-3.4001776298587679E-3</v>
      </c>
      <c r="AI10" s="25">
        <f t="shared" si="4"/>
        <v>-3.5364992456132023E-3</v>
      </c>
      <c r="AJ10" s="25">
        <f t="shared" si="4"/>
        <v>-4.6191315415057199E-3</v>
      </c>
      <c r="AK10" s="25">
        <f t="shared" si="4"/>
        <v>-7.145731097438688E-3</v>
      </c>
      <c r="AL10" s="25">
        <f t="shared" si="11"/>
        <v>-2.1957252847482067E-3</v>
      </c>
    </row>
    <row r="11" spans="1:38" x14ac:dyDescent="0.2">
      <c r="A11" s="24">
        <v>43811</v>
      </c>
      <c r="B11" s="25">
        <v>57.751488000000002</v>
      </c>
      <c r="C11" s="25">
        <v>67.692618999999993</v>
      </c>
      <c r="D11" s="25">
        <v>11.677939</v>
      </c>
      <c r="E11" s="25">
        <v>52.100310999999998</v>
      </c>
      <c r="F11" s="25">
        <v>43.108719000000001</v>
      </c>
      <c r="G11" s="25">
        <v>134.814911</v>
      </c>
      <c r="H11" s="25">
        <v>29.729811000000002</v>
      </c>
      <c r="I11" s="25">
        <v>93.572258000000005</v>
      </c>
      <c r="J11" s="25">
        <v>33.032291000000001</v>
      </c>
      <c r="K11" s="25">
        <v>44.908203</v>
      </c>
      <c r="L11" s="25">
        <v>26994.140625</v>
      </c>
      <c r="N11" s="7" t="s">
        <v>261</v>
      </c>
      <c r="O11" s="3">
        <v>9.2000255789213001E-4</v>
      </c>
      <c r="P11" s="3">
        <v>2.6886028784347859E-3</v>
      </c>
      <c r="Q11" s="3">
        <v>1.4630737927018618E-2</v>
      </c>
      <c r="R11" s="3">
        <v>-1.0522382160914603E-3</v>
      </c>
      <c r="S11" s="3">
        <v>7.0237141814961969E-3</v>
      </c>
      <c r="T11" s="3">
        <v>4.9279661216249262E-5</v>
      </c>
      <c r="U11" s="3">
        <v>6.761000819268027E-4</v>
      </c>
      <c r="V11" s="3">
        <v>2.1269394380249901E-4</v>
      </c>
      <c r="W11" s="3">
        <v>2.6779481915199946E-3</v>
      </c>
      <c r="X11" s="3">
        <v>-3.5397154114676424E-4</v>
      </c>
      <c r="Z11" s="24">
        <v>43809</v>
      </c>
      <c r="AA11" s="26">
        <v>6</v>
      </c>
      <c r="AB11" s="25">
        <f t="shared" si="5"/>
        <v>0.99733017891585884</v>
      </c>
      <c r="AC11" s="25">
        <f t="shared" si="6"/>
        <v>0.99635900783015063</v>
      </c>
      <c r="AD11" s="25">
        <f t="shared" si="7"/>
        <v>0.99966476213775946</v>
      </c>
      <c r="AE11" s="25">
        <f t="shared" si="8"/>
        <v>1.0043731065689452</v>
      </c>
      <c r="AF11" s="25">
        <f t="shared" si="9"/>
        <v>0.99969364161221486</v>
      </c>
      <c r="AH11" s="25">
        <f t="shared" si="10"/>
        <v>1.5316495146323916E-3</v>
      </c>
      <c r="AI11" s="25">
        <f t="shared" si="4"/>
        <v>2.4469228310643742E-3</v>
      </c>
      <c r="AJ11" s="25">
        <f t="shared" si="4"/>
        <v>4.4561328707452674E-3</v>
      </c>
      <c r="AK11" s="25">
        <f t="shared" si="4"/>
        <v>1.0519183429707089E-2</v>
      </c>
      <c r="AL11" s="25">
        <f t="shared" si="11"/>
        <v>7.8675043137330647E-3</v>
      </c>
    </row>
    <row r="12" spans="1:38" x14ac:dyDescent="0.2">
      <c r="A12" s="24">
        <v>43812</v>
      </c>
      <c r="B12" s="25">
        <v>60.437598999999999</v>
      </c>
      <c r="C12" s="25">
        <v>68.860457999999994</v>
      </c>
      <c r="D12" s="25">
        <v>11.81845</v>
      </c>
      <c r="E12" s="25">
        <v>53.656216000000001</v>
      </c>
      <c r="F12" s="25">
        <v>43.456989</v>
      </c>
      <c r="G12" s="25">
        <v>138.467758</v>
      </c>
      <c r="H12" s="25">
        <v>30.317360000000001</v>
      </c>
      <c r="I12" s="25">
        <v>96.509147999999996</v>
      </c>
      <c r="J12" s="25">
        <v>33.666305999999999</v>
      </c>
      <c r="K12" s="25">
        <v>46.264285999999998</v>
      </c>
      <c r="L12" s="25">
        <v>27687.759765999999</v>
      </c>
      <c r="N12" s="7"/>
      <c r="O12" s="3"/>
      <c r="P12" s="3"/>
      <c r="Q12" s="3"/>
      <c r="R12" s="3"/>
      <c r="S12" s="3"/>
      <c r="T12" s="3"/>
      <c r="U12" s="3"/>
      <c r="V12" s="3"/>
      <c r="W12" s="3"/>
      <c r="X12" s="3"/>
      <c r="Z12" s="24">
        <v>43810</v>
      </c>
      <c r="AA12" s="26">
        <v>7</v>
      </c>
      <c r="AB12" s="25">
        <f t="shared" si="5"/>
        <v>0.99885890964129986</v>
      </c>
      <c r="AC12" s="25">
        <f t="shared" si="6"/>
        <v>0.99880000668431768</v>
      </c>
      <c r="AD12" s="25">
        <f t="shared" si="7"/>
        <v>1.0041293411348544</v>
      </c>
      <c r="AE12" s="25">
        <f t="shared" si="8"/>
        <v>1.0149940554267565</v>
      </c>
      <c r="AF12" s="25">
        <f t="shared" si="9"/>
        <v>1.0075897562789247</v>
      </c>
      <c r="AH12" s="25">
        <f t="shared" si="10"/>
        <v>1.4282075345989948E-2</v>
      </c>
      <c r="AI12" s="25">
        <f t="shared" si="4"/>
        <v>1.3262293903698404E-2</v>
      </c>
      <c r="AJ12" s="25">
        <f t="shared" si="4"/>
        <v>1.2462942560025194E-2</v>
      </c>
      <c r="AK12" s="25">
        <f t="shared" si="4"/>
        <v>8.6565968481808094E-3</v>
      </c>
      <c r="AL12" s="25">
        <f t="shared" si="11"/>
        <v>1.300218654309937E-2</v>
      </c>
    </row>
    <row r="13" spans="1:38" x14ac:dyDescent="0.2">
      <c r="A13" s="24">
        <v>43815</v>
      </c>
      <c r="B13" s="25">
        <v>60.844597</v>
      </c>
      <c r="C13" s="25">
        <v>68.902152999999998</v>
      </c>
      <c r="D13" s="25">
        <v>11.834061999999999</v>
      </c>
      <c r="E13" s="25">
        <v>53.345039</v>
      </c>
      <c r="F13" s="25">
        <v>44.269629999999999</v>
      </c>
      <c r="G13" s="25">
        <v>137.19348099999999</v>
      </c>
      <c r="H13" s="25">
        <v>30.003993999999999</v>
      </c>
      <c r="I13" s="25">
        <v>95.448616000000001</v>
      </c>
      <c r="J13" s="25">
        <v>33.412689</v>
      </c>
      <c r="K13" s="25">
        <v>45.602015999999999</v>
      </c>
      <c r="L13" s="25">
        <v>27508.089843999998</v>
      </c>
      <c r="N13" s="13" t="s">
        <v>285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Z13" s="24">
        <v>43811</v>
      </c>
      <c r="AA13" s="26">
        <v>8</v>
      </c>
      <c r="AB13" s="25">
        <f t="shared" si="5"/>
        <v>1.0132270470284064</v>
      </c>
      <c r="AC13" s="25">
        <f t="shared" si="6"/>
        <v>1.0121346142163683</v>
      </c>
      <c r="AD13" s="25">
        <f t="shared" si="7"/>
        <v>1.0167220555781853</v>
      </c>
      <c r="AE13" s="25">
        <f t="shared" si="8"/>
        <v>1.0238185898797529</v>
      </c>
      <c r="AF13" s="25">
        <f t="shared" si="9"/>
        <v>1.0207761665615804</v>
      </c>
      <c r="AH13" s="25">
        <f t="shared" si="10"/>
        <v>2.2308830365593332E-2</v>
      </c>
      <c r="AI13" s="25">
        <f t="shared" si="4"/>
        <v>2.1811327700363148E-2</v>
      </c>
      <c r="AJ13" s="25">
        <f t="shared" si="4"/>
        <v>1.3993958265763041E-2</v>
      </c>
      <c r="AK13" s="25">
        <f t="shared" si="4"/>
        <v>-2.2046353094939443E-3</v>
      </c>
      <c r="AL13" s="25">
        <f t="shared" si="11"/>
        <v>2.537060126454449E-2</v>
      </c>
    </row>
    <row r="14" spans="1:38" x14ac:dyDescent="0.2">
      <c r="A14" s="24">
        <v>43816</v>
      </c>
      <c r="B14" s="25">
        <v>61.414375</v>
      </c>
      <c r="C14" s="25">
        <v>68.526779000000005</v>
      </c>
      <c r="D14" s="25">
        <v>11.880898</v>
      </c>
      <c r="E14" s="25">
        <v>53.967391999999997</v>
      </c>
      <c r="F14" s="25">
        <v>44.114840999999998</v>
      </c>
      <c r="G14" s="25">
        <v>138.72261</v>
      </c>
      <c r="H14" s="25">
        <v>29.925657000000001</v>
      </c>
      <c r="I14" s="25">
        <v>94.469634999999997</v>
      </c>
      <c r="J14" s="25">
        <v>33.159092000000001</v>
      </c>
      <c r="K14" s="25">
        <v>45.570480000000003</v>
      </c>
      <c r="L14" s="25">
        <v>27843.710938</v>
      </c>
      <c r="N14" s="13" t="s">
        <v>21</v>
      </c>
      <c r="O14" s="14" t="s">
        <v>268</v>
      </c>
      <c r="P14" s="14" t="s">
        <v>269</v>
      </c>
      <c r="Q14" s="14" t="s">
        <v>270</v>
      </c>
      <c r="R14" s="14" t="s">
        <v>271</v>
      </c>
      <c r="S14" s="14" t="s">
        <v>272</v>
      </c>
      <c r="T14" s="14" t="s">
        <v>273</v>
      </c>
      <c r="U14" s="14" t="s">
        <v>274</v>
      </c>
      <c r="V14" s="14" t="s">
        <v>275</v>
      </c>
      <c r="W14" s="14" t="s">
        <v>276</v>
      </c>
      <c r="X14" s="14" t="s">
        <v>277</v>
      </c>
      <c r="Z14" s="24">
        <v>43812</v>
      </c>
      <c r="AA14" s="26">
        <v>9</v>
      </c>
      <c r="AB14" s="25">
        <f t="shared" si="5"/>
        <v>1.0360849761802691</v>
      </c>
      <c r="AC14" s="25">
        <f t="shared" si="6"/>
        <v>1.0344531273666662</v>
      </c>
      <c r="AD14" s="25">
        <f t="shared" si="7"/>
        <v>1.0310500403814669</v>
      </c>
      <c r="AE14" s="25">
        <f t="shared" si="8"/>
        <v>1.0215639295311112</v>
      </c>
      <c r="AF14" s="25">
        <f t="shared" si="9"/>
        <v>1.0470051878013968</v>
      </c>
      <c r="AH14" s="25">
        <f t="shared" si="10"/>
        <v>-3.9052319987996215E-3</v>
      </c>
      <c r="AI14" s="25">
        <f t="shared" si="4"/>
        <v>-2.0456440756103159E-3</v>
      </c>
      <c r="AJ14" s="25">
        <f t="shared" si="4"/>
        <v>7.3767757503064336E-3</v>
      </c>
      <c r="AK14" s="25">
        <f t="shared" si="4"/>
        <v>3.2031586945028542E-2</v>
      </c>
      <c r="AL14" s="25">
        <f t="shared" si="11"/>
        <v>-6.5102922724005197E-3</v>
      </c>
    </row>
    <row r="15" spans="1:38" x14ac:dyDescent="0.2">
      <c r="A15" s="24">
        <v>43817</v>
      </c>
      <c r="B15" s="25">
        <v>60.234107999999999</v>
      </c>
      <c r="C15" s="25">
        <v>69.235832000000002</v>
      </c>
      <c r="D15" s="25">
        <v>11.802835999999999</v>
      </c>
      <c r="E15" s="25">
        <v>53.878487</v>
      </c>
      <c r="F15" s="25">
        <v>43.960045000000001</v>
      </c>
      <c r="G15" s="25">
        <v>137.87312299999999</v>
      </c>
      <c r="H15" s="25">
        <v>29.768982000000001</v>
      </c>
      <c r="I15" s="25">
        <v>94.551215999999997</v>
      </c>
      <c r="J15" s="25">
        <v>32.905482999999997</v>
      </c>
      <c r="K15" s="25">
        <v>45.192031999999998</v>
      </c>
      <c r="L15" s="25">
        <v>27884.210938</v>
      </c>
      <c r="N15" s="7" t="s">
        <v>261</v>
      </c>
      <c r="O15" s="3">
        <v>5.5793644888919576E-4</v>
      </c>
      <c r="P15" s="3">
        <v>2.393485596905544E-3</v>
      </c>
      <c r="Q15" s="3">
        <v>1.2462509134248791E-2</v>
      </c>
      <c r="R15" s="3">
        <v>-2.0438916256636506E-3</v>
      </c>
      <c r="S15" s="3">
        <v>7.7197979586325896E-3</v>
      </c>
      <c r="T15" s="3">
        <v>-3.3352493409382684E-4</v>
      </c>
      <c r="U15" s="3">
        <v>-1.1597816998258706E-3</v>
      </c>
      <c r="V15" s="3">
        <v>-3.702247482071752E-4</v>
      </c>
      <c r="W15" s="3">
        <v>-2.9580690248312445E-3</v>
      </c>
      <c r="X15" s="3">
        <v>-1.0111272925818376E-3</v>
      </c>
      <c r="Z15" s="24">
        <v>43815</v>
      </c>
      <c r="AA15" s="26">
        <v>10</v>
      </c>
      <c r="AB15" s="25">
        <f t="shared" si="5"/>
        <v>1.0320467142848393</v>
      </c>
      <c r="AC15" s="25">
        <f t="shared" si="6"/>
        <v>1.0323391673971993</v>
      </c>
      <c r="AD15" s="25">
        <f t="shared" si="7"/>
        <v>1.0386839876573806</v>
      </c>
      <c r="AE15" s="25">
        <f t="shared" si="8"/>
        <v>1.0548159579166267</v>
      </c>
      <c r="AF15" s="25">
        <f t="shared" si="9"/>
        <v>1.0402110180305049</v>
      </c>
      <c r="AH15" s="25">
        <f t="shared" si="10"/>
        <v>-1.4474506218628419E-3</v>
      </c>
      <c r="AI15" s="25">
        <f t="shared" si="4"/>
        <v>-3.5600935520767318E-4</v>
      </c>
      <c r="AJ15" s="25">
        <f t="shared" si="4"/>
        <v>-3.0376043475942929E-3</v>
      </c>
      <c r="AK15" s="25">
        <f t="shared" si="4"/>
        <v>-5.477991950364372E-3</v>
      </c>
      <c r="AL15" s="25">
        <f t="shared" si="11"/>
        <v>1.2126984213324477E-2</v>
      </c>
    </row>
    <row r="16" spans="1:38" x14ac:dyDescent="0.2">
      <c r="A16" s="24">
        <v>43818</v>
      </c>
      <c r="B16" s="25">
        <v>59.908520000000003</v>
      </c>
      <c r="C16" s="25">
        <v>68.902152999999998</v>
      </c>
      <c r="D16" s="25">
        <v>11.771611999999999</v>
      </c>
      <c r="E16" s="25">
        <v>54.056300999999998</v>
      </c>
      <c r="F16" s="25">
        <v>43.766567000000002</v>
      </c>
      <c r="G16" s="25">
        <v>136.59884600000001</v>
      </c>
      <c r="H16" s="25">
        <v>29.651468000000001</v>
      </c>
      <c r="I16" s="25">
        <v>95.448616000000001</v>
      </c>
      <c r="J16" s="25">
        <v>32.968879999999999</v>
      </c>
      <c r="K16" s="25">
        <v>45.034362999999999</v>
      </c>
      <c r="L16" s="25">
        <v>27800.490234000001</v>
      </c>
      <c r="Z16" s="24">
        <v>43816</v>
      </c>
      <c r="AA16" s="26">
        <v>11</v>
      </c>
      <c r="AB16" s="25">
        <f t="shared" si="5"/>
        <v>1.0305539582324188</v>
      </c>
      <c r="AC16" s="25">
        <f t="shared" si="6"/>
        <v>1.0319717104088024</v>
      </c>
      <c r="AD16" s="25">
        <f t="shared" si="7"/>
        <v>1.0355336638017627</v>
      </c>
      <c r="AE16" s="25">
        <f t="shared" si="8"/>
        <v>1.0490534823975108</v>
      </c>
      <c r="AF16" s="25">
        <f t="shared" si="9"/>
        <v>1.0529024394211619</v>
      </c>
      <c r="AH16" s="25">
        <f t="shared" si="10"/>
        <v>-5.2123155184458127E-3</v>
      </c>
      <c r="AI16" s="25">
        <f t="shared" si="4"/>
        <v>-4.7161130992759287E-3</v>
      </c>
      <c r="AJ16" s="25">
        <f t="shared" si="4"/>
        <v>-2.5314695767509401E-3</v>
      </c>
      <c r="AK16" s="25">
        <f t="shared" si="4"/>
        <v>1.9575401019934976E-3</v>
      </c>
      <c r="AL16" s="25">
        <f t="shared" si="11"/>
        <v>1.4534906656038515E-3</v>
      </c>
    </row>
    <row r="17" spans="1:38" x14ac:dyDescent="0.2">
      <c r="A17" s="24">
        <v>43819</v>
      </c>
      <c r="B17" s="25">
        <v>60.722492000000003</v>
      </c>
      <c r="C17" s="25">
        <v>68.651916999999997</v>
      </c>
      <c r="D17" s="25">
        <v>11.787224999999999</v>
      </c>
      <c r="E17" s="25">
        <v>54.011848000000001</v>
      </c>
      <c r="F17" s="25">
        <v>44.114840999999998</v>
      </c>
      <c r="G17" s="25">
        <v>136.59884600000001</v>
      </c>
      <c r="H17" s="25">
        <v>29.886493999999999</v>
      </c>
      <c r="I17" s="25">
        <v>96.182822999999999</v>
      </c>
      <c r="J17" s="25">
        <v>33.285888999999997</v>
      </c>
      <c r="K17" s="25">
        <v>45.507404000000001</v>
      </c>
      <c r="L17" s="25">
        <v>27871.349609000001</v>
      </c>
      <c r="Z17" s="24">
        <v>43817</v>
      </c>
      <c r="AA17" s="26">
        <v>12</v>
      </c>
      <c r="AB17" s="25">
        <f t="shared" si="5"/>
        <v>1.0251963607173622</v>
      </c>
      <c r="AC17" s="25">
        <f t="shared" si="6"/>
        <v>1.0271162735014987</v>
      </c>
      <c r="AD17" s="25">
        <f t="shared" si="7"/>
        <v>1.0329155570630686</v>
      </c>
      <c r="AE17" s="25">
        <f t="shared" si="8"/>
        <v>1.0511090579378088</v>
      </c>
      <c r="AF17" s="25">
        <f t="shared" si="9"/>
        <v>1.0544339360270385</v>
      </c>
      <c r="AH17" s="25">
        <f t="shared" si="10"/>
        <v>-8.9762182882192204E-4</v>
      </c>
      <c r="AI17" s="25">
        <f t="shared" si="4"/>
        <v>-1.4857365987166367E-3</v>
      </c>
      <c r="AJ17" s="25">
        <f t="shared" si="4"/>
        <v>-3.7312522340297166E-3</v>
      </c>
      <c r="AK17" s="25">
        <f t="shared" si="4"/>
        <v>-9.586816315219418E-3</v>
      </c>
      <c r="AL17" s="25">
        <f t="shared" si="11"/>
        <v>-3.0069575779361202E-3</v>
      </c>
    </row>
    <row r="18" spans="1:38" x14ac:dyDescent="0.2">
      <c r="A18" s="24">
        <v>43822</v>
      </c>
      <c r="B18" s="25">
        <v>60.681801</v>
      </c>
      <c r="C18" s="25">
        <v>68.985557999999997</v>
      </c>
      <c r="D18" s="25">
        <v>11.802835999999999</v>
      </c>
      <c r="E18" s="25">
        <v>53.834029999999998</v>
      </c>
      <c r="F18" s="25">
        <v>44.230938000000002</v>
      </c>
      <c r="G18" s="25">
        <v>137.618256</v>
      </c>
      <c r="H18" s="25">
        <v>29.808147000000002</v>
      </c>
      <c r="I18" s="25">
        <v>95.856498999999999</v>
      </c>
      <c r="J18" s="25">
        <v>33.159092000000001</v>
      </c>
      <c r="K18" s="25">
        <v>45.318179999999998</v>
      </c>
      <c r="L18" s="25">
        <v>27906.410156000002</v>
      </c>
      <c r="Z18" s="24">
        <v>43818</v>
      </c>
      <c r="AA18" s="26">
        <v>13</v>
      </c>
      <c r="AB18" s="25">
        <f t="shared" si="5"/>
        <v>1.0242765349747467</v>
      </c>
      <c r="AC18" s="25">
        <f t="shared" si="6"/>
        <v>1.0255913823366318</v>
      </c>
      <c r="AD18" s="25">
        <f t="shared" si="7"/>
        <v>1.0290686698994818</v>
      </c>
      <c r="AE18" s="25">
        <f t="shared" si="8"/>
        <v>1.0410804166514969</v>
      </c>
      <c r="AF18" s="25">
        <f t="shared" si="9"/>
        <v>1.0512680601253692</v>
      </c>
      <c r="AH18" s="25">
        <f t="shared" si="10"/>
        <v>6.2071789497113693E-3</v>
      </c>
      <c r="AI18" s="25">
        <f t="shared" si="4"/>
        <v>5.4732798976342353E-3</v>
      </c>
      <c r="AJ18" s="25">
        <f t="shared" si="4"/>
        <v>4.8365702492164236E-3</v>
      </c>
      <c r="AK18" s="25">
        <f t="shared" si="4"/>
        <v>2.7623487793602824E-3</v>
      </c>
      <c r="AL18" s="25">
        <f t="shared" si="11"/>
        <v>2.5456106162362602E-3</v>
      </c>
    </row>
    <row r="19" spans="1:38" x14ac:dyDescent="0.2">
      <c r="A19" s="24">
        <v>43823</v>
      </c>
      <c r="B19" s="25">
        <v>60.763190999999999</v>
      </c>
      <c r="C19" s="25">
        <v>68.693618999999998</v>
      </c>
      <c r="D19" s="25">
        <v>11.787224999999999</v>
      </c>
      <c r="E19" s="25">
        <v>53.789577000000001</v>
      </c>
      <c r="F19" s="25">
        <v>44.192233999999999</v>
      </c>
      <c r="G19" s="25">
        <v>137.788116</v>
      </c>
      <c r="H19" s="25">
        <v>29.690640999999999</v>
      </c>
      <c r="I19" s="25">
        <v>95.938064999999995</v>
      </c>
      <c r="J19" s="25">
        <v>33.159092000000001</v>
      </c>
      <c r="K19" s="25">
        <v>45.286644000000003</v>
      </c>
      <c r="L19" s="25">
        <v>27864.210938</v>
      </c>
      <c r="Z19" s="24">
        <v>43819</v>
      </c>
      <c r="AA19" s="26">
        <v>14</v>
      </c>
      <c r="AB19" s="25">
        <f t="shared" si="5"/>
        <v>1.0306541758233025</v>
      </c>
      <c r="AC19" s="25">
        <f t="shared" si="6"/>
        <v>1.031220120811762</v>
      </c>
      <c r="AD19" s="25">
        <f t="shared" si="7"/>
        <v>1.0340578884398806</v>
      </c>
      <c r="AE19" s="25">
        <f t="shared" si="8"/>
        <v>1.0439602195484472</v>
      </c>
      <c r="AF19" s="25">
        <f t="shared" si="9"/>
        <v>1.0539475883304814</v>
      </c>
      <c r="AH19" s="25">
        <f t="shared" si="10"/>
        <v>-9.5583825317592172E-4</v>
      </c>
      <c r="AI19" s="25">
        <f t="shared" si="4"/>
        <v>-3.4288759508912386E-4</v>
      </c>
      <c r="AJ19" s="25">
        <f t="shared" si="4"/>
        <v>2.2177168863752386E-3</v>
      </c>
      <c r="AK19" s="25">
        <f t="shared" si="4"/>
        <v>8.4360214117482971E-3</v>
      </c>
      <c r="AL19" s="25">
        <f t="shared" si="11"/>
        <v>1.2571516592014831E-3</v>
      </c>
    </row>
    <row r="20" spans="1:38" x14ac:dyDescent="0.2">
      <c r="A20" s="24">
        <v>43826</v>
      </c>
      <c r="B20" s="25">
        <v>61.007384999999999</v>
      </c>
      <c r="C20" s="25">
        <v>69.360946999999996</v>
      </c>
      <c r="D20" s="25">
        <v>11.849674</v>
      </c>
      <c r="E20" s="25">
        <v>54.100754000000002</v>
      </c>
      <c r="F20" s="25">
        <v>44.463120000000004</v>
      </c>
      <c r="G20" s="25">
        <v>137.958054</v>
      </c>
      <c r="H20" s="25">
        <v>29.886493999999999</v>
      </c>
      <c r="I20" s="25">
        <v>95.856498999999999</v>
      </c>
      <c r="J20" s="25">
        <v>33.349293000000003</v>
      </c>
      <c r="K20" s="25">
        <v>45.286644000000003</v>
      </c>
      <c r="L20" s="25">
        <v>28225.419922000001</v>
      </c>
      <c r="Z20" s="24">
        <v>43822</v>
      </c>
      <c r="AA20" s="26">
        <v>15</v>
      </c>
      <c r="AB20" s="25">
        <f t="shared" si="5"/>
        <v>1.0296695078029037</v>
      </c>
      <c r="AC20" s="25">
        <f t="shared" si="6"/>
        <v>1.0308665888388571</v>
      </c>
      <c r="AD20" s="25">
        <f t="shared" si="7"/>
        <v>1.0363536808484157</v>
      </c>
      <c r="AE20" s="25">
        <f t="shared" si="8"/>
        <v>1.0528043424683859</v>
      </c>
      <c r="AF20" s="25">
        <f t="shared" si="9"/>
        <v>1.0552733934843253</v>
      </c>
      <c r="AH20" s="25">
        <f t="shared" si="10"/>
        <v>-6.7045450822070252E-4</v>
      </c>
      <c r="AI20" s="25">
        <f t="shared" si="4"/>
        <v>-8.057068548877229E-4</v>
      </c>
      <c r="AJ20" s="25">
        <f t="shared" si="4"/>
        <v>-1.5315435667077534E-3</v>
      </c>
      <c r="AK20" s="25">
        <f t="shared" si="4"/>
        <v>-3.0728597841981689E-3</v>
      </c>
      <c r="AL20" s="25">
        <f t="shared" si="11"/>
        <v>-1.513313828164442E-3</v>
      </c>
    </row>
    <row r="21" spans="1:38" x14ac:dyDescent="0.2">
      <c r="A21" s="24">
        <v>43829</v>
      </c>
      <c r="B21" s="25">
        <v>61.007384999999999</v>
      </c>
      <c r="C21" s="25">
        <v>69.068984999999998</v>
      </c>
      <c r="D21" s="25">
        <v>11.912122</v>
      </c>
      <c r="E21" s="25">
        <v>54.145214000000003</v>
      </c>
      <c r="F21" s="25">
        <v>44.540515999999997</v>
      </c>
      <c r="G21" s="25">
        <v>138.55270400000001</v>
      </c>
      <c r="H21" s="25">
        <v>30.003993999999999</v>
      </c>
      <c r="I21" s="25">
        <v>97.080200000000005</v>
      </c>
      <c r="J21" s="25">
        <v>33.793101999999998</v>
      </c>
      <c r="K21" s="25">
        <v>46.043526</v>
      </c>
      <c r="L21" s="25">
        <v>28319.390625</v>
      </c>
      <c r="Z21" s="24">
        <v>43823</v>
      </c>
      <c r="AA21" s="26">
        <v>16</v>
      </c>
      <c r="AB21" s="25">
        <f t="shared" si="5"/>
        <v>1.0289793926106918</v>
      </c>
      <c r="AC21" s="25">
        <f t="shared" si="6"/>
        <v>1.0300363470724097</v>
      </c>
      <c r="AD21" s="25">
        <f t="shared" si="7"/>
        <v>1.034767674864324</v>
      </c>
      <c r="AE21" s="25">
        <f t="shared" si="8"/>
        <v>1.0495741877917057</v>
      </c>
      <c r="AF21" s="25">
        <f t="shared" si="9"/>
        <v>1.0536776414068525</v>
      </c>
      <c r="AH21" s="25">
        <f t="shared" si="10"/>
        <v>4.7843735596187174E-3</v>
      </c>
      <c r="AI21" s="25">
        <f t="shared" si="10"/>
        <v>4.9880769263564578E-3</v>
      </c>
      <c r="AJ21" s="25">
        <f t="shared" si="10"/>
        <v>6.5115162414761119E-3</v>
      </c>
      <c r="AK21" s="25">
        <f t="shared" si="10"/>
        <v>9.9009654104446274E-3</v>
      </c>
      <c r="AL21" s="25">
        <f t="shared" si="11"/>
        <v>1.2879884281774778E-2</v>
      </c>
    </row>
    <row r="22" spans="1:38" x14ac:dyDescent="0.2">
      <c r="A22" s="24">
        <v>43830</v>
      </c>
      <c r="B22" s="25">
        <v>60.47831</v>
      </c>
      <c r="C22" s="25">
        <v>68.318252999999999</v>
      </c>
      <c r="D22" s="25">
        <v>11.880898</v>
      </c>
      <c r="E22" s="25">
        <v>54.100754000000002</v>
      </c>
      <c r="F22" s="25">
        <v>44.114840999999998</v>
      </c>
      <c r="G22" s="25">
        <v>136.768753</v>
      </c>
      <c r="H22" s="25">
        <v>29.964832000000001</v>
      </c>
      <c r="I22" s="25">
        <v>97.324944000000002</v>
      </c>
      <c r="J22" s="25">
        <v>33.856506000000003</v>
      </c>
      <c r="K22" s="25">
        <v>45.665084999999998</v>
      </c>
      <c r="L22" s="25">
        <v>28189.75</v>
      </c>
      <c r="Z22" s="24">
        <v>43826</v>
      </c>
      <c r="AA22" s="26">
        <v>17</v>
      </c>
      <c r="AB22" s="25">
        <f t="shared" si="5"/>
        <v>1.0339142100017593</v>
      </c>
      <c r="AC22" s="25">
        <f t="shared" si="6"/>
        <v>1.035187083062644</v>
      </c>
      <c r="AD22" s="25">
        <f t="shared" si="7"/>
        <v>1.0415275660712056</v>
      </c>
      <c r="AE22" s="25">
        <f t="shared" si="8"/>
        <v>1.0600176001398727</v>
      </c>
      <c r="AF22" s="25">
        <f t="shared" si="9"/>
        <v>1.0673366619749549</v>
      </c>
      <c r="AH22" s="25">
        <f t="shared" si="10"/>
        <v>7.0149499791896316E-3</v>
      </c>
      <c r="AI22" s="25">
        <f t="shared" si="10"/>
        <v>5.6111286624022649E-3</v>
      </c>
      <c r="AJ22" s="25">
        <f t="shared" si="10"/>
        <v>2.4150976782509395E-3</v>
      </c>
      <c r="AK22" s="25">
        <f t="shared" si="10"/>
        <v>-7.1541477814239668E-3</v>
      </c>
      <c r="AL22" s="25">
        <f t="shared" si="11"/>
        <v>3.3237635284990574E-3</v>
      </c>
    </row>
    <row r="23" spans="1:38" x14ac:dyDescent="0.2">
      <c r="A23" s="24">
        <v>43832</v>
      </c>
      <c r="B23" s="25">
        <v>60.641094000000002</v>
      </c>
      <c r="C23" s="25">
        <v>68.777030999999994</v>
      </c>
      <c r="D23" s="25">
        <v>11.912122</v>
      </c>
      <c r="E23" s="25">
        <v>54.145214000000003</v>
      </c>
      <c r="F23" s="25">
        <v>44.230938000000002</v>
      </c>
      <c r="G23" s="25">
        <v>137.788116</v>
      </c>
      <c r="H23" s="25">
        <v>29.964832000000001</v>
      </c>
      <c r="I23" s="25">
        <v>96.672286999999997</v>
      </c>
      <c r="J23" s="25">
        <v>33.919910000000002</v>
      </c>
      <c r="K23" s="25">
        <v>45.980449999999998</v>
      </c>
      <c r="L23" s="25">
        <v>28543.519531000002</v>
      </c>
      <c r="Z23" s="24">
        <v>43829</v>
      </c>
      <c r="AA23" s="26">
        <v>18</v>
      </c>
      <c r="AB23" s="25">
        <f t="shared" si="5"/>
        <v>1.0411925652697547</v>
      </c>
      <c r="AC23" s="25">
        <f t="shared" si="6"/>
        <v>1.0410119778093543</v>
      </c>
      <c r="AD23" s="25">
        <f t="shared" si="7"/>
        <v>1.0440459967818361</v>
      </c>
      <c r="AE23" s="25">
        <f t="shared" si="8"/>
        <v>1.0524611398238926</v>
      </c>
      <c r="AF23" s="25">
        <f t="shared" si="9"/>
        <v>1.0708901388316545</v>
      </c>
      <c r="AH23" s="25">
        <f t="shared" si="10"/>
        <v>-3.2454204375302123E-3</v>
      </c>
      <c r="AI23" s="25">
        <f t="shared" si="10"/>
        <v>-4.2280672844403969E-3</v>
      </c>
      <c r="AJ23" s="25">
        <f t="shared" si="10"/>
        <v>-7.1591722230916199E-3</v>
      </c>
      <c r="AK23" s="25">
        <f t="shared" si="10"/>
        <v>-1.5653451207231106E-2</v>
      </c>
      <c r="AL23" s="25">
        <f t="shared" si="11"/>
        <v>-4.5883144215519422E-3</v>
      </c>
    </row>
    <row r="24" spans="1:38" x14ac:dyDescent="0.2">
      <c r="A24" s="24">
        <v>43833</v>
      </c>
      <c r="B24" s="25">
        <v>60.315502000000002</v>
      </c>
      <c r="C24" s="25">
        <v>68.526779000000005</v>
      </c>
      <c r="D24" s="25">
        <v>11.896509999999999</v>
      </c>
      <c r="E24" s="25">
        <v>53.700676000000001</v>
      </c>
      <c r="F24" s="25">
        <v>44.308331000000003</v>
      </c>
      <c r="G24" s="25">
        <v>137.27844200000001</v>
      </c>
      <c r="H24" s="25">
        <v>29.808147000000002</v>
      </c>
      <c r="I24" s="25">
        <v>96.672286999999997</v>
      </c>
      <c r="J24" s="25">
        <v>33.983311</v>
      </c>
      <c r="K24" s="25">
        <v>45.759697000000003</v>
      </c>
      <c r="L24" s="25">
        <v>28451.5</v>
      </c>
      <c r="Z24" s="24">
        <v>43830</v>
      </c>
      <c r="AA24" s="26">
        <v>19</v>
      </c>
      <c r="AB24" s="25">
        <f t="shared" si="5"/>
        <v>1.0378189350244313</v>
      </c>
      <c r="AC24" s="25">
        <f t="shared" si="6"/>
        <v>1.0366198008761474</v>
      </c>
      <c r="AD24" s="25">
        <f t="shared" si="7"/>
        <v>1.0365981835814064</v>
      </c>
      <c r="AE24" s="25">
        <f t="shared" si="8"/>
        <v>1.0361147631080763</v>
      </c>
      <c r="AF24" s="25">
        <f t="shared" si="9"/>
        <v>1.0659878134694021</v>
      </c>
      <c r="AH24" s="25">
        <f t="shared" si="10"/>
        <v>2.1360484754120376E-3</v>
      </c>
      <c r="AI24" s="25">
        <f t="shared" si="10"/>
        <v>2.4056091267551094E-3</v>
      </c>
      <c r="AJ24" s="25">
        <f t="shared" si="10"/>
        <v>3.2654806571372763E-3</v>
      </c>
      <c r="AK24" s="25">
        <f t="shared" si="10"/>
        <v>5.6739129459406623E-3</v>
      </c>
      <c r="AL24" s="25">
        <f t="shared" si="11"/>
        <v>1.2471486988008706E-2</v>
      </c>
    </row>
    <row r="25" spans="1:38" x14ac:dyDescent="0.2">
      <c r="A25" s="24">
        <v>43836</v>
      </c>
      <c r="B25" s="25">
        <v>59.867820999999999</v>
      </c>
      <c r="C25" s="25">
        <v>68.109688000000006</v>
      </c>
      <c r="D25" s="25">
        <v>11.865285999999999</v>
      </c>
      <c r="E25" s="25">
        <v>53.345039</v>
      </c>
      <c r="F25" s="25">
        <v>44.308331000000003</v>
      </c>
      <c r="G25" s="25">
        <v>136.17411799999999</v>
      </c>
      <c r="H25" s="25">
        <v>29.573132000000001</v>
      </c>
      <c r="I25" s="25">
        <v>95.774924999999996</v>
      </c>
      <c r="J25" s="25">
        <v>33.602898000000003</v>
      </c>
      <c r="K25" s="25">
        <v>45.286644000000003</v>
      </c>
      <c r="L25" s="25">
        <v>28226.189452999999</v>
      </c>
      <c r="Z25" s="24">
        <v>43832</v>
      </c>
      <c r="AA25" s="26">
        <v>20</v>
      </c>
      <c r="AB25" s="25">
        <f t="shared" si="5"/>
        <v>1.0400381358948658</v>
      </c>
      <c r="AC25" s="25">
        <f t="shared" si="6"/>
        <v>1.0391165047729245</v>
      </c>
      <c r="AD25" s="25">
        <f t="shared" si="7"/>
        <v>1.0399887077317649</v>
      </c>
      <c r="AE25" s="25">
        <f t="shared" si="8"/>
        <v>1.0420102976344132</v>
      </c>
      <c r="AF25" s="25">
        <f t="shared" si="9"/>
        <v>1.0793655131234532</v>
      </c>
      <c r="AH25" s="25">
        <f t="shared" si="10"/>
        <v>-1.6443578207176041E-3</v>
      </c>
      <c r="AI25" s="25">
        <f t="shared" si="10"/>
        <v>-2.0180466963663768E-3</v>
      </c>
      <c r="AJ25" s="25">
        <f t="shared" si="10"/>
        <v>-9.1765034059609896E-5</v>
      </c>
      <c r="AK25" s="25">
        <f t="shared" si="10"/>
        <v>2.9166262050458192E-3</v>
      </c>
      <c r="AL25" s="25">
        <f t="shared" si="11"/>
        <v>-3.2290404218553448E-3</v>
      </c>
    </row>
    <row r="26" spans="1:38" x14ac:dyDescent="0.2">
      <c r="A26" s="24">
        <v>43837</v>
      </c>
      <c r="B26" s="25">
        <v>59.460835000000003</v>
      </c>
      <c r="C26" s="25">
        <v>68.485061999999999</v>
      </c>
      <c r="D26" s="25">
        <v>11.880898</v>
      </c>
      <c r="E26" s="25">
        <v>53.256126000000002</v>
      </c>
      <c r="F26" s="25">
        <v>44.695301000000001</v>
      </c>
      <c r="G26" s="25">
        <v>136.768753</v>
      </c>
      <c r="H26" s="25">
        <v>29.651468000000001</v>
      </c>
      <c r="I26" s="25">
        <v>95.448616000000001</v>
      </c>
      <c r="J26" s="25">
        <v>33.476097000000003</v>
      </c>
      <c r="K26" s="25">
        <v>45.255108</v>
      </c>
      <c r="L26" s="25">
        <v>28322.060547000001</v>
      </c>
      <c r="Z26" s="24">
        <v>43833</v>
      </c>
      <c r="AA26" s="26">
        <v>21</v>
      </c>
      <c r="AB26" s="25">
        <f t="shared" si="5"/>
        <v>1.0383293463680086</v>
      </c>
      <c r="AC26" s="25">
        <f t="shared" si="6"/>
        <v>1.0370216336281732</v>
      </c>
      <c r="AD26" s="25">
        <f t="shared" si="7"/>
        <v>1.039893277511224</v>
      </c>
      <c r="AE26" s="25">
        <f t="shared" si="8"/>
        <v>1.0450538885253182</v>
      </c>
      <c r="AF26" s="25">
        <f t="shared" si="9"/>
        <v>1.0758858193110863</v>
      </c>
      <c r="AH26" s="25">
        <f t="shared" si="10"/>
        <v>-7.874911559564983E-3</v>
      </c>
      <c r="AI26" s="25">
        <f t="shared" si="10"/>
        <v>-6.964334138391072E-3</v>
      </c>
      <c r="AJ26" s="25">
        <f t="shared" si="10"/>
        <v>-3.6376322371775155E-3</v>
      </c>
      <c r="AK26" s="25">
        <f t="shared" si="10"/>
        <v>5.2714742306410114E-3</v>
      </c>
      <c r="AL26" s="25">
        <f t="shared" si="11"/>
        <v>-7.9506322873950097E-3</v>
      </c>
    </row>
    <row r="27" spans="1:38" x14ac:dyDescent="0.2">
      <c r="A27" s="24">
        <v>43838</v>
      </c>
      <c r="B27" s="25">
        <v>58.728248999999998</v>
      </c>
      <c r="C27" s="25">
        <v>68.443382</v>
      </c>
      <c r="D27" s="25">
        <v>11.865285999999999</v>
      </c>
      <c r="E27" s="25">
        <v>52.722678999999999</v>
      </c>
      <c r="F27" s="25">
        <v>44.579208000000001</v>
      </c>
      <c r="G27" s="25">
        <v>136.34402499999999</v>
      </c>
      <c r="H27" s="25">
        <v>29.377276999999999</v>
      </c>
      <c r="I27" s="25">
        <v>94.959114</v>
      </c>
      <c r="J27" s="25">
        <v>33.285888999999997</v>
      </c>
      <c r="K27" s="25">
        <v>44.624374000000003</v>
      </c>
      <c r="L27" s="25">
        <v>28087.919922000001</v>
      </c>
      <c r="Z27" s="24">
        <v>43836</v>
      </c>
      <c r="AA27" s="26">
        <v>22</v>
      </c>
      <c r="AB27" s="25">
        <f t="shared" si="5"/>
        <v>1.0301847058478089</v>
      </c>
      <c r="AC27" s="25">
        <f t="shared" si="6"/>
        <v>1.0298245589685435</v>
      </c>
      <c r="AD27" s="25">
        <f t="shared" si="7"/>
        <v>1.0361173999922675</v>
      </c>
      <c r="AE27" s="25">
        <f t="shared" si="8"/>
        <v>1.0505774089252069</v>
      </c>
      <c r="AF27" s="25">
        <f t="shared" si="9"/>
        <v>1.0673657615827232</v>
      </c>
      <c r="AH27" s="25">
        <f t="shared" si="10"/>
        <v>-3.4297013359806117E-4</v>
      </c>
      <c r="AI27" s="25">
        <f t="shared" si="10"/>
        <v>5.0353156122144929E-4</v>
      </c>
      <c r="AJ27" s="25">
        <f t="shared" si="10"/>
        <v>4.2543915229146453E-3</v>
      </c>
      <c r="AK27" s="25">
        <f t="shared" si="10"/>
        <v>1.339349064899676E-2</v>
      </c>
      <c r="AL27" s="25">
        <f t="shared" si="11"/>
        <v>3.39077463423898E-3</v>
      </c>
    </row>
    <row r="28" spans="1:38" x14ac:dyDescent="0.2">
      <c r="A28" s="24">
        <v>43839</v>
      </c>
      <c r="B28" s="25">
        <v>59.827126</v>
      </c>
      <c r="C28" s="25">
        <v>68.735305999999994</v>
      </c>
      <c r="D28" s="25">
        <v>11.943346999999999</v>
      </c>
      <c r="E28" s="25">
        <v>53.211674000000002</v>
      </c>
      <c r="F28" s="25">
        <v>44.695301000000001</v>
      </c>
      <c r="G28" s="25">
        <v>138.467758</v>
      </c>
      <c r="H28" s="25">
        <v>29.729811000000002</v>
      </c>
      <c r="I28" s="25">
        <v>96.427559000000002</v>
      </c>
      <c r="J28" s="25">
        <v>34.046706999999998</v>
      </c>
      <c r="K28" s="25">
        <v>45.633549000000002</v>
      </c>
      <c r="L28" s="25">
        <v>28561</v>
      </c>
      <c r="Z28" s="24">
        <v>43837</v>
      </c>
      <c r="AA28" s="26">
        <v>23</v>
      </c>
      <c r="AB28" s="25">
        <f t="shared" si="5"/>
        <v>1.0298314438442346</v>
      </c>
      <c r="AC28" s="25">
        <f t="shared" si="6"/>
        <v>1.0303432387113565</v>
      </c>
      <c r="AD28" s="25">
        <f t="shared" si="7"/>
        <v>1.0405348391705229</v>
      </c>
      <c r="AE28" s="25">
        <f t="shared" si="8"/>
        <v>1.0647429589512685</v>
      </c>
      <c r="AF28" s="25">
        <f t="shared" si="9"/>
        <v>1.0709911012139004</v>
      </c>
      <c r="AH28" s="25">
        <f t="shared" si="10"/>
        <v>-5.9780413725081805E-3</v>
      </c>
      <c r="AI28" s="25">
        <f t="shared" si="10"/>
        <v>-5.7235911830839821E-3</v>
      </c>
      <c r="AJ28" s="25">
        <f t="shared" si="10"/>
        <v>-2.3598655278849051E-3</v>
      </c>
      <c r="AK28" s="25">
        <f t="shared" si="10"/>
        <v>4.1390701443984185E-3</v>
      </c>
      <c r="AL28" s="25">
        <f t="shared" si="11"/>
        <v>-8.3014377129657646E-3</v>
      </c>
    </row>
    <row r="29" spans="1:38" x14ac:dyDescent="0.2">
      <c r="A29" s="24">
        <v>43840</v>
      </c>
      <c r="B29" s="25">
        <v>60.274814999999997</v>
      </c>
      <c r="C29" s="25">
        <v>68.318252999999999</v>
      </c>
      <c r="D29" s="25">
        <v>11.927735</v>
      </c>
      <c r="E29" s="25">
        <v>53.211674000000002</v>
      </c>
      <c r="F29" s="25">
        <v>44.733994000000003</v>
      </c>
      <c r="G29" s="25">
        <v>140.166763</v>
      </c>
      <c r="H29" s="25">
        <v>29.847317</v>
      </c>
      <c r="I29" s="25">
        <v>97.080200000000005</v>
      </c>
      <c r="J29" s="25">
        <v>34.110118999999997</v>
      </c>
      <c r="K29" s="25">
        <v>45.791229000000001</v>
      </c>
      <c r="L29" s="25">
        <v>28638.199218999998</v>
      </c>
      <c r="Z29" s="24">
        <v>43838</v>
      </c>
      <c r="AA29" s="26">
        <v>24</v>
      </c>
      <c r="AB29" s="25">
        <f t="shared" si="5"/>
        <v>1.0236934337847479</v>
      </c>
      <c r="AC29" s="25">
        <f t="shared" si="6"/>
        <v>1.0244628198447945</v>
      </c>
      <c r="AD29" s="25">
        <f t="shared" si="7"/>
        <v>1.0380822119464368</v>
      </c>
      <c r="AE29" s="25">
        <f t="shared" si="8"/>
        <v>1.0691591378764995</v>
      </c>
      <c r="AF29" s="25">
        <f t="shared" si="9"/>
        <v>1.0621371364611762</v>
      </c>
      <c r="AH29" s="25">
        <f t="shared" si="10"/>
        <v>1.483471502307241E-2</v>
      </c>
      <c r="AI29" s="25">
        <f t="shared" si="10"/>
        <v>1.3000892619286747E-2</v>
      </c>
      <c r="AJ29" s="25">
        <f t="shared" si="10"/>
        <v>7.0366704755526616E-3</v>
      </c>
      <c r="AK29" s="25">
        <f t="shared" si="10"/>
        <v>-8.5634085262363616E-3</v>
      </c>
      <c r="AL29" s="25">
        <f t="shared" si="11"/>
        <v>1.6702562970328572E-2</v>
      </c>
    </row>
    <row r="30" spans="1:38" x14ac:dyDescent="0.2">
      <c r="A30" s="24">
        <v>43843</v>
      </c>
      <c r="B30" s="25">
        <v>60.96669</v>
      </c>
      <c r="C30" s="25">
        <v>68.985557999999997</v>
      </c>
      <c r="D30" s="25">
        <v>12.068246</v>
      </c>
      <c r="E30" s="25">
        <v>53.300575000000002</v>
      </c>
      <c r="F30" s="25">
        <v>45.198368000000002</v>
      </c>
      <c r="G30" s="25">
        <v>141.440979</v>
      </c>
      <c r="H30" s="25">
        <v>30.082335</v>
      </c>
      <c r="I30" s="25">
        <v>98.956542999999996</v>
      </c>
      <c r="J30" s="25">
        <v>34.680728999999999</v>
      </c>
      <c r="K30" s="25">
        <v>47.147311999999999</v>
      </c>
      <c r="L30" s="25">
        <v>28954.939452999999</v>
      </c>
      <c r="Z30" s="24">
        <v>43839</v>
      </c>
      <c r="AA30" s="26">
        <v>25</v>
      </c>
      <c r="AB30" s="25">
        <f t="shared" si="5"/>
        <v>1.0389928346965445</v>
      </c>
      <c r="AC30" s="25">
        <f t="shared" si="6"/>
        <v>1.0378687063787306</v>
      </c>
      <c r="AD30" s="25">
        <f t="shared" si="7"/>
        <v>1.0454126149668039</v>
      </c>
      <c r="AE30" s="25">
        <f t="shared" si="8"/>
        <v>1.0600425815087509</v>
      </c>
      <c r="AF30" s="25">
        <f t="shared" si="9"/>
        <v>1.0800265323566045</v>
      </c>
      <c r="AH30" s="25">
        <f t="shared" si="10"/>
        <v>2.6028682147572549E-3</v>
      </c>
      <c r="AI30" s="25">
        <f t="shared" si="10"/>
        <v>2.211972461106583E-3</v>
      </c>
      <c r="AJ30" s="25">
        <f t="shared" si="10"/>
        <v>-3.1462127101194309E-4</v>
      </c>
      <c r="AK30" s="25">
        <f t="shared" si="10"/>
        <v>-6.0716850864335967E-3</v>
      </c>
      <c r="AL30" s="25">
        <f t="shared" si="11"/>
        <v>2.6993128200647476E-3</v>
      </c>
    </row>
    <row r="31" spans="1:38" x14ac:dyDescent="0.2">
      <c r="A31" s="24">
        <v>43844</v>
      </c>
      <c r="B31" s="25">
        <v>61.129482000000003</v>
      </c>
      <c r="C31" s="25">
        <v>69.027289999999994</v>
      </c>
      <c r="D31" s="25">
        <v>12.115083</v>
      </c>
      <c r="E31" s="25">
        <v>53.122760999999997</v>
      </c>
      <c r="F31" s="25">
        <v>45.275756999999999</v>
      </c>
      <c r="G31" s="25">
        <v>142.12060500000001</v>
      </c>
      <c r="H31" s="25">
        <v>30.160677</v>
      </c>
      <c r="I31" s="25">
        <v>98.874961999999996</v>
      </c>
      <c r="J31" s="25">
        <v>34.870930000000001</v>
      </c>
      <c r="K31" s="25">
        <v>47.336539999999999</v>
      </c>
      <c r="L31" s="25">
        <v>28885.140625</v>
      </c>
      <c r="Z31" s="24">
        <v>43840</v>
      </c>
      <c r="AA31" s="26">
        <v>26</v>
      </c>
      <c r="AB31" s="25">
        <f t="shared" si="5"/>
        <v>1.0417007187251617</v>
      </c>
      <c r="AC31" s="25">
        <f t="shared" si="6"/>
        <v>1.0401669843021333</v>
      </c>
      <c r="AD31" s="25">
        <f t="shared" si="7"/>
        <v>1.0450837576566163</v>
      </c>
      <c r="AE31" s="25">
        <f t="shared" si="8"/>
        <v>1.0536258367154072</v>
      </c>
      <c r="AF31" s="25">
        <f t="shared" si="9"/>
        <v>1.0829458000572176</v>
      </c>
      <c r="AH31" s="25">
        <f t="shared" si="10"/>
        <v>1.3230192358528972E-2</v>
      </c>
      <c r="AI31" s="25">
        <f t="shared" si="10"/>
        <v>1.2240564722486261E-2</v>
      </c>
      <c r="AJ31" s="25">
        <f t="shared" si="10"/>
        <v>1.1663249413883983E-2</v>
      </c>
      <c r="AK31" s="25">
        <f t="shared" si="10"/>
        <v>8.4151553214791772E-3</v>
      </c>
      <c r="AL31" s="25">
        <f t="shared" si="11"/>
        <v>1.0999345919138648E-2</v>
      </c>
    </row>
    <row r="32" spans="1:38" x14ac:dyDescent="0.2">
      <c r="A32" s="24">
        <v>43845</v>
      </c>
      <c r="B32" s="25">
        <v>61.048073000000002</v>
      </c>
      <c r="C32" s="25">
        <v>68.693618999999998</v>
      </c>
      <c r="D32" s="25">
        <v>12.099468999999999</v>
      </c>
      <c r="E32" s="25">
        <v>53.167212999999997</v>
      </c>
      <c r="F32" s="25">
        <v>45.120967999999998</v>
      </c>
      <c r="G32" s="25">
        <v>143.05502300000001</v>
      </c>
      <c r="H32" s="25">
        <v>30.082335</v>
      </c>
      <c r="I32" s="25">
        <v>99.446037000000004</v>
      </c>
      <c r="J32" s="25">
        <v>34.680728999999999</v>
      </c>
      <c r="K32" s="25">
        <v>47.304988999999999</v>
      </c>
      <c r="L32" s="25">
        <v>28773.589843999998</v>
      </c>
      <c r="Z32" s="24">
        <v>43843</v>
      </c>
      <c r="AA32" s="26">
        <v>27</v>
      </c>
      <c r="AB32" s="25">
        <f t="shared" si="5"/>
        <v>1.0555741916065542</v>
      </c>
      <c r="AC32" s="25">
        <f t="shared" si="6"/>
        <v>1.0529774593696939</v>
      </c>
      <c r="AD32" s="25">
        <f t="shared" si="7"/>
        <v>1.0573441894341229</v>
      </c>
      <c r="AE32" s="25">
        <f t="shared" si="8"/>
        <v>1.0625296728203997</v>
      </c>
      <c r="AF32" s="25">
        <f t="shared" si="9"/>
        <v>1.0949232468057501</v>
      </c>
      <c r="AH32" s="25">
        <f t="shared" si="10"/>
        <v>2.8868339942293847E-3</v>
      </c>
      <c r="AI32" s="25">
        <f t="shared" si="10"/>
        <v>2.4636247479841375E-3</v>
      </c>
      <c r="AJ32" s="25">
        <f t="shared" si="10"/>
        <v>2.7192280038917591E-3</v>
      </c>
      <c r="AK32" s="25">
        <f t="shared" si="10"/>
        <v>2.1626237304759668E-3</v>
      </c>
      <c r="AL32" s="25">
        <f t="shared" si="11"/>
        <v>-2.4135119380055414E-3</v>
      </c>
    </row>
    <row r="33" spans="1:38" x14ac:dyDescent="0.2">
      <c r="A33" s="24">
        <v>43846</v>
      </c>
      <c r="B33" s="25">
        <v>61.048073000000002</v>
      </c>
      <c r="C33" s="25">
        <v>68.985557999999997</v>
      </c>
      <c r="D33" s="25">
        <v>12.193142</v>
      </c>
      <c r="E33" s="25">
        <v>53.256126000000002</v>
      </c>
      <c r="F33" s="25">
        <v>45.082272000000003</v>
      </c>
      <c r="G33" s="25">
        <v>144.41421500000001</v>
      </c>
      <c r="H33" s="25">
        <v>30.082335</v>
      </c>
      <c r="I33" s="25">
        <v>99.527596000000003</v>
      </c>
      <c r="J33" s="25">
        <v>34.934337999999997</v>
      </c>
      <c r="K33" s="25">
        <v>48.124954000000002</v>
      </c>
      <c r="L33" s="25">
        <v>28883.039063</v>
      </c>
      <c r="Z33" s="24">
        <v>43844</v>
      </c>
      <c r="AA33" s="26">
        <v>28</v>
      </c>
      <c r="AB33" s="25">
        <f t="shared" si="5"/>
        <v>1.0586258617795761</v>
      </c>
      <c r="AC33" s="25">
        <f t="shared" si="6"/>
        <v>1.0555747988188384</v>
      </c>
      <c r="AD33" s="25">
        <f t="shared" si="7"/>
        <v>1.0602232620171443</v>
      </c>
      <c r="AE33" s="25">
        <f t="shared" si="8"/>
        <v>1.0648300111918054</v>
      </c>
      <c r="AF33" s="25">
        <f t="shared" si="9"/>
        <v>1.0922838229001659</v>
      </c>
      <c r="AH33" s="25">
        <f t="shared" si="10"/>
        <v>-1.780285629665701E-3</v>
      </c>
      <c r="AI33" s="25">
        <f t="shared" si="10"/>
        <v>-1.6134677613277165E-3</v>
      </c>
      <c r="AJ33" s="25">
        <f t="shared" si="10"/>
        <v>-3.3769773561491342E-3</v>
      </c>
      <c r="AK33" s="25">
        <f t="shared" si="10"/>
        <v>-6.753147601937827E-3</v>
      </c>
      <c r="AL33" s="25">
        <f t="shared" si="11"/>
        <v>-3.8693505482907398E-3</v>
      </c>
    </row>
    <row r="34" spans="1:38" x14ac:dyDescent="0.2">
      <c r="A34" s="24">
        <v>43847</v>
      </c>
      <c r="B34" s="25">
        <v>61.292282</v>
      </c>
      <c r="C34" s="25">
        <v>69.569496000000001</v>
      </c>
      <c r="D34" s="25">
        <v>12.411714</v>
      </c>
      <c r="E34" s="25">
        <v>53.478397000000001</v>
      </c>
      <c r="F34" s="25">
        <v>45.043579000000001</v>
      </c>
      <c r="G34" s="25">
        <v>147.38746599999999</v>
      </c>
      <c r="H34" s="25">
        <v>30.552371999999998</v>
      </c>
      <c r="I34" s="25">
        <v>100.34339900000001</v>
      </c>
      <c r="J34" s="25">
        <v>35.187942999999997</v>
      </c>
      <c r="K34" s="25">
        <v>48.251094999999999</v>
      </c>
      <c r="L34" s="25">
        <v>29056.419922000001</v>
      </c>
      <c r="Z34" s="24">
        <v>43845</v>
      </c>
      <c r="AA34" s="26">
        <v>29</v>
      </c>
      <c r="AB34" s="25">
        <f t="shared" si="5"/>
        <v>1.0567428819889175</v>
      </c>
      <c r="AC34" s="25">
        <f t="shared" si="6"/>
        <v>1.0538730361500561</v>
      </c>
      <c r="AD34" s="25">
        <f t="shared" si="7"/>
        <v>1.0566489506499048</v>
      </c>
      <c r="AE34" s="25">
        <f t="shared" si="8"/>
        <v>1.0576632831778381</v>
      </c>
      <c r="AF34" s="25">
        <f t="shared" si="9"/>
        <v>1.0880655601227736</v>
      </c>
      <c r="AH34" s="25">
        <f t="shared" si="10"/>
        <v>5.0299959141387324E-3</v>
      </c>
      <c r="AI34" s="25">
        <f t="shared" si="10"/>
        <v>4.5305648962485623E-3</v>
      </c>
      <c r="AJ34" s="25">
        <f t="shared" si="10"/>
        <v>2.8127760573508909E-3</v>
      </c>
      <c r="AK34" s="25">
        <f t="shared" si="10"/>
        <v>-2.1242588682445843E-3</v>
      </c>
      <c r="AL34" s="25">
        <f t="shared" si="11"/>
        <v>3.7965920846421142E-3</v>
      </c>
    </row>
    <row r="35" spans="1:38" x14ac:dyDescent="0.2">
      <c r="A35" s="24">
        <v>43850</v>
      </c>
      <c r="B35" s="25">
        <v>61.292282</v>
      </c>
      <c r="C35" s="25">
        <v>69.110709999999997</v>
      </c>
      <c r="D35" s="25">
        <v>12.411714</v>
      </c>
      <c r="E35" s="25">
        <v>53.300575000000002</v>
      </c>
      <c r="F35" s="25">
        <v>44.850093999999999</v>
      </c>
      <c r="G35" s="25">
        <v>144.92392000000001</v>
      </c>
      <c r="H35" s="25">
        <v>30.35652</v>
      </c>
      <c r="I35" s="25">
        <v>99.527596000000003</v>
      </c>
      <c r="J35" s="25">
        <v>35.124541999999998</v>
      </c>
      <c r="K35" s="25">
        <v>47.683436999999998</v>
      </c>
      <c r="L35" s="25">
        <v>28795.910156000002</v>
      </c>
      <c r="Z35" s="24">
        <v>43846</v>
      </c>
      <c r="AA35" s="26">
        <v>30</v>
      </c>
      <c r="AB35" s="25">
        <f t="shared" si="5"/>
        <v>1.0620716850611875</v>
      </c>
      <c r="AC35" s="25">
        <f t="shared" si="6"/>
        <v>1.0586585085939184</v>
      </c>
      <c r="AD35" s="25">
        <f t="shared" si="7"/>
        <v>1.0596252513907476</v>
      </c>
      <c r="AE35" s="25">
        <f t="shared" si="8"/>
        <v>1.0554189172200461</v>
      </c>
      <c r="AF35" s="25">
        <f t="shared" si="9"/>
        <v>1.0922043528984364</v>
      </c>
      <c r="AH35" s="25">
        <f t="shared" si="10"/>
        <v>8.5677889319395531E-3</v>
      </c>
      <c r="AI35" s="25">
        <f t="shared" si="10"/>
        <v>8.2664086399085318E-3</v>
      </c>
      <c r="AJ35" s="25">
        <f t="shared" si="10"/>
        <v>7.1219043487001643E-3</v>
      </c>
      <c r="AK35" s="25">
        <f t="shared" si="10"/>
        <v>2.4727027538285137E-3</v>
      </c>
      <c r="AL35" s="25">
        <f t="shared" si="11"/>
        <v>5.984915274236613E-3</v>
      </c>
    </row>
    <row r="36" spans="1:38" x14ac:dyDescent="0.2">
      <c r="A36" s="24">
        <v>43851</v>
      </c>
      <c r="B36" s="25">
        <v>60.396900000000002</v>
      </c>
      <c r="C36" s="25">
        <v>68.318252999999999</v>
      </c>
      <c r="D36" s="25">
        <v>12.208754000000001</v>
      </c>
      <c r="E36" s="25">
        <v>52.589317000000001</v>
      </c>
      <c r="F36" s="25">
        <v>44.308331000000003</v>
      </c>
      <c r="G36" s="25">
        <v>141.61087000000001</v>
      </c>
      <c r="H36" s="25">
        <v>29.455625999999999</v>
      </c>
      <c r="I36" s="25">
        <v>96.835464000000002</v>
      </c>
      <c r="J36" s="25">
        <v>33.919910000000002</v>
      </c>
      <c r="K36" s="25">
        <v>46.075062000000003</v>
      </c>
      <c r="L36" s="25">
        <v>27985.330077999999</v>
      </c>
      <c r="Z36" s="24">
        <v>43847</v>
      </c>
      <c r="AA36" s="26">
        <v>31</v>
      </c>
      <c r="AB36" s="25">
        <f t="shared" si="5"/>
        <v>1.0712103844092991</v>
      </c>
      <c r="AC36" s="25">
        <f t="shared" si="6"/>
        <v>1.0674460832371198</v>
      </c>
      <c r="AD36" s="25">
        <f t="shared" si="7"/>
        <v>1.0671987378882946</v>
      </c>
      <c r="AE36" s="25">
        <f t="shared" si="8"/>
        <v>1.0580318836964371</v>
      </c>
      <c r="AF36" s="25">
        <f t="shared" si="9"/>
        <v>1.0987607034436828</v>
      </c>
      <c r="AH36" s="25">
        <f t="shared" si="10"/>
        <v>-4.8128277305784783E-3</v>
      </c>
      <c r="AI36" s="25">
        <f t="shared" si="10"/>
        <v>-4.8250450818146592E-3</v>
      </c>
      <c r="AJ36" s="25">
        <f t="shared" si="10"/>
        <v>-3.4581058767508277E-3</v>
      </c>
      <c r="AK36" s="25">
        <f t="shared" si="10"/>
        <v>-3.6336691962574746E-4</v>
      </c>
      <c r="AL36" s="25">
        <f t="shared" si="11"/>
        <v>-9.006085890275628E-3</v>
      </c>
    </row>
    <row r="37" spans="1:38" x14ac:dyDescent="0.2">
      <c r="A37" s="24">
        <v>43852</v>
      </c>
      <c r="B37" s="25">
        <v>60.681801</v>
      </c>
      <c r="C37" s="25">
        <v>68.818732999999995</v>
      </c>
      <c r="D37" s="25">
        <v>12.25559</v>
      </c>
      <c r="E37" s="25">
        <v>52.722678999999999</v>
      </c>
      <c r="F37" s="25">
        <v>44.772689999999997</v>
      </c>
      <c r="G37" s="25">
        <v>142.545334</v>
      </c>
      <c r="H37" s="25">
        <v>29.455625999999999</v>
      </c>
      <c r="I37" s="25">
        <v>96.672286999999997</v>
      </c>
      <c r="J37" s="25">
        <v>34.046706999999998</v>
      </c>
      <c r="K37" s="25">
        <v>46.264285999999998</v>
      </c>
      <c r="L37" s="25">
        <v>28341.039063</v>
      </c>
      <c r="Z37" s="24">
        <v>43850</v>
      </c>
      <c r="AA37" s="26">
        <v>32</v>
      </c>
      <c r="AB37" s="25">
        <f t="shared" si="5"/>
        <v>1.0660672198760972</v>
      </c>
      <c r="AC37" s="25">
        <f t="shared" si="6"/>
        <v>1.0623080134406004</v>
      </c>
      <c r="AD37" s="25">
        <f t="shared" si="7"/>
        <v>1.0635146253581074</v>
      </c>
      <c r="AE37" s="25">
        <f t="shared" si="8"/>
        <v>1.057647499750427</v>
      </c>
      <c r="AF37" s="25">
        <f t="shared" si="9"/>
        <v>1.0889095967170972</v>
      </c>
      <c r="AH37" s="25">
        <f t="shared" si="10"/>
        <v>-2.468301450049782E-2</v>
      </c>
      <c r="AI37" s="25">
        <f t="shared" si="10"/>
        <v>-2.2190774136342031E-2</v>
      </c>
      <c r="AJ37" s="25">
        <f t="shared" si="10"/>
        <v>-1.6182573450835389E-2</v>
      </c>
      <c r="AK37" s="25">
        <f t="shared" si="10"/>
        <v>2.1348438864683544E-3</v>
      </c>
      <c r="AL37" s="25">
        <f t="shared" si="11"/>
        <v>-2.8552921493103511E-2</v>
      </c>
    </row>
    <row r="38" spans="1:38" x14ac:dyDescent="0.2">
      <c r="A38" s="24">
        <v>43853</v>
      </c>
      <c r="B38" s="25">
        <v>60.356197000000002</v>
      </c>
      <c r="C38" s="25">
        <v>68.651916999999997</v>
      </c>
      <c r="D38" s="25">
        <v>12.099468999999999</v>
      </c>
      <c r="E38" s="25">
        <v>52.411498999999999</v>
      </c>
      <c r="F38" s="25">
        <v>44.540515999999997</v>
      </c>
      <c r="G38" s="25">
        <v>141.101181</v>
      </c>
      <c r="H38" s="25">
        <v>29.103096000000001</v>
      </c>
      <c r="I38" s="25">
        <v>94.551215999999997</v>
      </c>
      <c r="J38" s="25">
        <v>33.539501000000001</v>
      </c>
      <c r="K38" s="25">
        <v>45.948920999999999</v>
      </c>
      <c r="L38" s="25">
        <v>27909.119140999999</v>
      </c>
      <c r="Z38" s="24">
        <v>43851</v>
      </c>
      <c r="AA38" s="26">
        <v>33</v>
      </c>
      <c r="AB38" s="25">
        <f t="shared" si="5"/>
        <v>1.0400755630577463</v>
      </c>
      <c r="AC38" s="25">
        <f t="shared" si="6"/>
        <v>1.0389942086339199</v>
      </c>
      <c r="AD38" s="25">
        <f t="shared" si="7"/>
        <v>1.0464427279916906</v>
      </c>
      <c r="AE38" s="25">
        <f t="shared" si="8"/>
        <v>1.0599078239104518</v>
      </c>
      <c r="AF38" s="25">
        <f t="shared" si="9"/>
        <v>1.05825772910603</v>
      </c>
      <c r="AH38" s="25">
        <f t="shared" si="10"/>
        <v>4.0290477788051532E-3</v>
      </c>
      <c r="AI38" s="25">
        <f t="shared" si="10"/>
        <v>4.5264412551132213E-3</v>
      </c>
      <c r="AJ38" s="25">
        <f t="shared" si="10"/>
        <v>7.1350326271443082E-3</v>
      </c>
      <c r="AK38" s="25">
        <f t="shared" si="10"/>
        <v>1.3774512303171615E-2</v>
      </c>
      <c r="AL38" s="25">
        <f t="shared" si="11"/>
        <v>1.2630450682900474E-2</v>
      </c>
    </row>
    <row r="39" spans="1:38" x14ac:dyDescent="0.2">
      <c r="A39" s="24">
        <v>43854</v>
      </c>
      <c r="B39" s="25">
        <v>60.518996999999999</v>
      </c>
      <c r="C39" s="25">
        <v>68.902152999999998</v>
      </c>
      <c r="D39" s="25">
        <v>12.099468999999999</v>
      </c>
      <c r="E39" s="25">
        <v>52.233685000000001</v>
      </c>
      <c r="F39" s="25">
        <v>44.540515999999997</v>
      </c>
      <c r="G39" s="25">
        <v>140.59153699999999</v>
      </c>
      <c r="H39" s="25">
        <v>29.024751999999999</v>
      </c>
      <c r="I39" s="25">
        <v>94.388053999999997</v>
      </c>
      <c r="J39" s="25">
        <v>33.476097000000003</v>
      </c>
      <c r="K39" s="25">
        <v>46.043526</v>
      </c>
      <c r="L39" s="25">
        <v>27949.640625</v>
      </c>
      <c r="Z39" s="24">
        <v>43852</v>
      </c>
      <c r="AA39" s="26">
        <v>34</v>
      </c>
      <c r="AB39" s="25">
        <f t="shared" si="5"/>
        <v>1.0442745304347347</v>
      </c>
      <c r="AC39" s="25">
        <f t="shared" si="6"/>
        <v>1.0437078147663759</v>
      </c>
      <c r="AD39" s="25">
        <f t="shared" si="7"/>
        <v>1.0539358309768432</v>
      </c>
      <c r="AE39" s="25">
        <f t="shared" si="8"/>
        <v>1.0746085525158122</v>
      </c>
      <c r="AF39" s="25">
        <f t="shared" si="9"/>
        <v>1.0717087686913962</v>
      </c>
      <c r="AH39" s="25">
        <f t="shared" si="10"/>
        <v>-1.1207802509986931E-2</v>
      </c>
      <c r="AI39" s="25">
        <f t="shared" si="10"/>
        <v>-1.0082512305806181E-2</v>
      </c>
      <c r="AJ39" s="25">
        <f t="shared" si="10"/>
        <v>-7.9455860330223393E-3</v>
      </c>
      <c r="AK39" s="25">
        <f t="shared" si="10"/>
        <v>-5.7974840819442763E-4</v>
      </c>
      <c r="AL39" s="25">
        <f t="shared" si="11"/>
        <v>-1.5357411420227507E-2</v>
      </c>
    </row>
    <row r="40" spans="1:38" x14ac:dyDescent="0.2">
      <c r="A40" s="24">
        <v>43859</v>
      </c>
      <c r="B40" s="25">
        <v>58.524760999999998</v>
      </c>
      <c r="C40" s="25">
        <v>68.151404999999997</v>
      </c>
      <c r="D40" s="25">
        <v>11.787224999999999</v>
      </c>
      <c r="E40" s="25">
        <v>51.166778999999998</v>
      </c>
      <c r="F40" s="25">
        <v>44.114840999999998</v>
      </c>
      <c r="G40" s="25">
        <v>136.768753</v>
      </c>
      <c r="H40" s="25">
        <v>28.241361999999999</v>
      </c>
      <c r="I40" s="25">
        <v>91.451187000000004</v>
      </c>
      <c r="J40" s="25">
        <v>32.334865999999998</v>
      </c>
      <c r="K40" s="25">
        <v>44.529774000000003</v>
      </c>
      <c r="L40" s="25">
        <v>27160.630859000001</v>
      </c>
      <c r="Z40" s="24">
        <v>43853</v>
      </c>
      <c r="AA40" s="26">
        <v>35</v>
      </c>
      <c r="AB40" s="25">
        <f t="shared" si="5"/>
        <v>1.0326358515708123</v>
      </c>
      <c r="AC40" s="25">
        <f t="shared" si="6"/>
        <v>1.0332374901670167</v>
      </c>
      <c r="AD40" s="25">
        <f t="shared" si="7"/>
        <v>1.0455948739363765</v>
      </c>
      <c r="AE40" s="25">
        <f t="shared" si="8"/>
        <v>1.0739857304755469</v>
      </c>
      <c r="AF40" s="25">
        <f t="shared" si="9"/>
        <v>1.0553758330234084</v>
      </c>
      <c r="AH40" s="25">
        <f t="shared" si="10"/>
        <v>-9.0013415444382613E-4</v>
      </c>
      <c r="AI40" s="25">
        <f t="shared" si="10"/>
        <v>-6.795788098887881E-4</v>
      </c>
      <c r="AJ40" s="25">
        <f t="shared" si="10"/>
        <v>8.7194487506900981E-4</v>
      </c>
      <c r="AK40" s="25">
        <f t="shared" si="10"/>
        <v>4.5153923428977172E-3</v>
      </c>
      <c r="AL40" s="25">
        <f t="shared" si="11"/>
        <v>1.4508553816039438E-3</v>
      </c>
    </row>
    <row r="41" spans="1:38" x14ac:dyDescent="0.2">
      <c r="A41" s="24">
        <v>43860</v>
      </c>
      <c r="B41" s="25">
        <v>56.896808999999998</v>
      </c>
      <c r="C41" s="25">
        <v>67.317229999999995</v>
      </c>
      <c r="D41" s="25">
        <v>11.631102</v>
      </c>
      <c r="E41" s="25">
        <v>50.411059999999999</v>
      </c>
      <c r="F41" s="25">
        <v>43.611781999999998</v>
      </c>
      <c r="G41" s="25">
        <v>134.560089</v>
      </c>
      <c r="H41" s="25">
        <v>27.771322000000001</v>
      </c>
      <c r="I41" s="25">
        <v>89.901161000000002</v>
      </c>
      <c r="J41" s="25">
        <v>31.383838999999998</v>
      </c>
      <c r="K41" s="25">
        <v>44.088256999999999</v>
      </c>
      <c r="L41" s="25">
        <v>26449.130859000001</v>
      </c>
      <c r="Z41" s="24">
        <v>43854</v>
      </c>
      <c r="AA41" s="26">
        <v>36</v>
      </c>
      <c r="AB41" s="25">
        <f t="shared" si="5"/>
        <v>1.0317067589884257</v>
      </c>
      <c r="AC41" s="25">
        <f t="shared" si="6"/>
        <v>1.0325355623977497</v>
      </c>
      <c r="AD41" s="25">
        <f t="shared" si="7"/>
        <v>1.0465069726202021</v>
      </c>
      <c r="AE41" s="25">
        <f t="shared" si="8"/>
        <v>1.0788461625399988</v>
      </c>
      <c r="AF41" s="25">
        <f t="shared" si="9"/>
        <v>1.0569081420409661</v>
      </c>
      <c r="AH41" s="25">
        <f t="shared" si="10"/>
        <v>-2.7376925119635027E-2</v>
      </c>
      <c r="AI41" s="25">
        <f t="shared" si="10"/>
        <v>-2.525916569961504E-2</v>
      </c>
      <c r="AJ41" s="25">
        <f t="shared" si="10"/>
        <v>-1.7942884433053884E-2</v>
      </c>
      <c r="AK41" s="25">
        <f t="shared" si="10"/>
        <v>8.3197671629910153E-4</v>
      </c>
      <c r="AL41" s="25">
        <f t="shared" si="11"/>
        <v>-2.8635811812270262E-2</v>
      </c>
    </row>
    <row r="42" spans="1:38" x14ac:dyDescent="0.2">
      <c r="A42" s="24">
        <v>43861</v>
      </c>
      <c r="B42" s="25">
        <v>56.408439999999999</v>
      </c>
      <c r="C42" s="25">
        <v>67.692618999999993</v>
      </c>
      <c r="D42" s="25">
        <v>11.677939</v>
      </c>
      <c r="E42" s="25">
        <v>50.544415000000001</v>
      </c>
      <c r="F42" s="25">
        <v>43.573081999999999</v>
      </c>
      <c r="G42" s="25">
        <v>134.39016699999999</v>
      </c>
      <c r="H42" s="25">
        <v>27.575479999999999</v>
      </c>
      <c r="I42" s="25">
        <v>89.166954000000004</v>
      </c>
      <c r="J42" s="25">
        <v>31.098531999999999</v>
      </c>
      <c r="K42" s="25">
        <v>43.425980000000003</v>
      </c>
      <c r="L42" s="25">
        <v>26312.630859000001</v>
      </c>
      <c r="Z42" s="24">
        <v>43859</v>
      </c>
      <c r="AA42" s="26">
        <v>37</v>
      </c>
      <c r="AB42" s="25">
        <f t="shared" si="5"/>
        <v>1.0038449261307845</v>
      </c>
      <c r="AC42" s="25">
        <f t="shared" si="6"/>
        <v>1.0067812115571344</v>
      </c>
      <c r="AD42" s="25">
        <f t="shared" si="7"/>
        <v>1.027897075846502</v>
      </c>
      <c r="AE42" s="25">
        <f t="shared" si="8"/>
        <v>1.0797441109119741</v>
      </c>
      <c r="AF42" s="25">
        <f t="shared" si="9"/>
        <v>1.0270719499759657</v>
      </c>
      <c r="AH42" s="25">
        <f t="shared" si="10"/>
        <v>-2.004538761724035E-2</v>
      </c>
      <c r="AI42" s="25">
        <f t="shared" si="10"/>
        <v>-1.8481779805991437E-2</v>
      </c>
      <c r="AJ42" s="25">
        <f t="shared" si="10"/>
        <v>-1.535373359950238E-2</v>
      </c>
      <c r="AK42" s="25">
        <f t="shared" si="10"/>
        <v>-6.3878263780838551E-3</v>
      </c>
      <c r="AL42" s="25">
        <f t="shared" si="11"/>
        <v>-2.6545231933166491E-2</v>
      </c>
    </row>
    <row r="43" spans="1:38" x14ac:dyDescent="0.2">
      <c r="A43" s="24">
        <v>43864</v>
      </c>
      <c r="B43" s="25">
        <v>55.716545000000004</v>
      </c>
      <c r="C43" s="25">
        <v>66.983588999999995</v>
      </c>
      <c r="D43" s="25">
        <v>11.599878</v>
      </c>
      <c r="E43" s="25">
        <v>50.233238</v>
      </c>
      <c r="F43" s="25">
        <v>43.224808000000003</v>
      </c>
      <c r="G43" s="25">
        <v>133.54066499999999</v>
      </c>
      <c r="H43" s="25">
        <v>27.418797999999999</v>
      </c>
      <c r="I43" s="25">
        <v>88.106392</v>
      </c>
      <c r="J43" s="25">
        <v>30.971727000000001</v>
      </c>
      <c r="K43" s="25">
        <v>42.826790000000003</v>
      </c>
      <c r="L43" s="25">
        <v>26356.980468999998</v>
      </c>
      <c r="Z43" s="24">
        <v>43860</v>
      </c>
      <c r="AA43" s="26">
        <v>38</v>
      </c>
      <c r="AB43" s="25">
        <f t="shared" si="5"/>
        <v>0.98392280587393222</v>
      </c>
      <c r="AC43" s="25">
        <f t="shared" si="6"/>
        <v>0.98834499472040538</v>
      </c>
      <c r="AD43" s="25">
        <f t="shared" si="7"/>
        <v>1.0122355570356298</v>
      </c>
      <c r="AE43" s="25">
        <f t="shared" si="8"/>
        <v>1.0728688752827276</v>
      </c>
      <c r="AF43" s="25">
        <f t="shared" si="9"/>
        <v>1.0001667688628491</v>
      </c>
      <c r="AH43" s="25">
        <f t="shared" si="10"/>
        <v>-4.6397894580551581E-3</v>
      </c>
      <c r="AI43" s="25">
        <f t="shared" si="10"/>
        <v>-3.3492710452765109E-3</v>
      </c>
      <c r="AJ43" s="25">
        <f t="shared" si="10"/>
        <v>8.493805658527781E-6</v>
      </c>
      <c r="AK43" s="25">
        <f t="shared" si="10"/>
        <v>8.3305055639918829E-3</v>
      </c>
      <c r="AL43" s="25">
        <f t="shared" si="11"/>
        <v>-5.1742132973657817E-3</v>
      </c>
    </row>
    <row r="44" spans="1:38" x14ac:dyDescent="0.2">
      <c r="A44" s="24">
        <v>43865</v>
      </c>
      <c r="B44" s="25">
        <v>55.757247999999997</v>
      </c>
      <c r="C44" s="25">
        <v>66.816733999999997</v>
      </c>
      <c r="D44" s="25">
        <v>11.631102</v>
      </c>
      <c r="E44" s="25">
        <v>50.322150999999998</v>
      </c>
      <c r="F44" s="25">
        <v>42.721744999999999</v>
      </c>
      <c r="G44" s="25">
        <v>133.880493</v>
      </c>
      <c r="H44" s="25">
        <v>27.614644999999999</v>
      </c>
      <c r="I44" s="25">
        <v>90.064316000000005</v>
      </c>
      <c r="J44" s="25">
        <v>31.510641</v>
      </c>
      <c r="K44" s="25">
        <v>43.205227000000001</v>
      </c>
      <c r="L44" s="25">
        <v>26675.980468999998</v>
      </c>
      <c r="Z44" s="24">
        <v>43861</v>
      </c>
      <c r="AA44" s="26">
        <v>39</v>
      </c>
      <c r="AB44" s="25">
        <f t="shared" si="5"/>
        <v>0.97936818562206485</v>
      </c>
      <c r="AC44" s="25">
        <f t="shared" si="6"/>
        <v>0.98504029670077531</v>
      </c>
      <c r="AD44" s="25">
        <f t="shared" si="7"/>
        <v>1.0122441548042458</v>
      </c>
      <c r="AE44" s="25">
        <f t="shared" si="8"/>
        <v>1.081843746120823</v>
      </c>
      <c r="AF44" s="25">
        <f t="shared" si="9"/>
        <v>0.99500505808007977</v>
      </c>
      <c r="AH44" s="25">
        <f t="shared" si="10"/>
        <v>-7.3876013291942037E-3</v>
      </c>
      <c r="AI44" s="25">
        <f t="shared" si="10"/>
        <v>-7.6759620406035237E-3</v>
      </c>
      <c r="AJ44" s="25">
        <f t="shared" si="10"/>
        <v>-8.2240679628940681E-3</v>
      </c>
      <c r="AK44" s="25">
        <f t="shared" si="10"/>
        <v>-1.0069064519491994E-2</v>
      </c>
      <c r="AL44" s="25">
        <f t="shared" si="11"/>
        <v>1.6840686446482067E-3</v>
      </c>
    </row>
    <row r="45" spans="1:38" x14ac:dyDescent="0.2">
      <c r="A45" s="24">
        <v>43866</v>
      </c>
      <c r="B45" s="25">
        <v>55.960746999999998</v>
      </c>
      <c r="C45" s="25">
        <v>66.900161999999995</v>
      </c>
      <c r="D45" s="25">
        <v>11.599878</v>
      </c>
      <c r="E45" s="25">
        <v>50.499966000000001</v>
      </c>
      <c r="F45" s="25">
        <v>42.915233999999998</v>
      </c>
      <c r="G45" s="25">
        <v>133.370758</v>
      </c>
      <c r="H45" s="25">
        <v>27.653814000000001</v>
      </c>
      <c r="I45" s="25">
        <v>90.145904999999999</v>
      </c>
      <c r="J45" s="25">
        <v>31.447244999999999</v>
      </c>
      <c r="K45" s="25">
        <v>43.552132</v>
      </c>
      <c r="L45" s="25">
        <v>26786.740234000001</v>
      </c>
      <c r="Z45" s="24">
        <v>43864</v>
      </c>
      <c r="AA45" s="26">
        <v>40</v>
      </c>
      <c r="AB45" s="25">
        <f t="shared" si="5"/>
        <v>0.97215966354056926</v>
      </c>
      <c r="AC45" s="25">
        <f t="shared" si="6"/>
        <v>0.97750811014711614</v>
      </c>
      <c r="AD45" s="25">
        <f t="shared" si="7"/>
        <v>1.003953528146831</v>
      </c>
      <c r="AE45" s="25">
        <f t="shared" si="8"/>
        <v>1.0710052499721783</v>
      </c>
      <c r="AF45" s="25">
        <f t="shared" si="9"/>
        <v>0.99668212665259692</v>
      </c>
      <c r="AH45" s="25">
        <f t="shared" si="10"/>
        <v>7.6113343498369554E-3</v>
      </c>
      <c r="AI45" s="25">
        <f t="shared" si="10"/>
        <v>5.0423036356036025E-3</v>
      </c>
      <c r="AJ45" s="25">
        <f t="shared" si="10"/>
        <v>-2.2376695160238351E-3</v>
      </c>
      <c r="AK45" s="25">
        <f t="shared" si="10"/>
        <v>-2.2202852316926716E-2</v>
      </c>
      <c r="AL45" s="25">
        <f t="shared" si="11"/>
        <v>1.2030399275007042E-2</v>
      </c>
    </row>
    <row r="46" spans="1:38" x14ac:dyDescent="0.2">
      <c r="A46" s="24">
        <v>43867</v>
      </c>
      <c r="B46" s="25">
        <v>57.181694</v>
      </c>
      <c r="C46" s="25">
        <v>68.610207000000003</v>
      </c>
      <c r="D46" s="25">
        <v>11.849674</v>
      </c>
      <c r="E46" s="25">
        <v>51.477961999999998</v>
      </c>
      <c r="F46" s="25">
        <v>44.076144999999997</v>
      </c>
      <c r="G46" s="25">
        <v>136.768753</v>
      </c>
      <c r="H46" s="25">
        <v>28.515544999999999</v>
      </c>
      <c r="I46" s="25">
        <v>92.593306999999996</v>
      </c>
      <c r="J46" s="25">
        <v>32.208061000000001</v>
      </c>
      <c r="K46" s="25">
        <v>45.002811000000001</v>
      </c>
      <c r="L46" s="25">
        <v>27493.699218999998</v>
      </c>
      <c r="Z46" s="24">
        <v>43865</v>
      </c>
      <c r="AA46" s="26">
        <v>41</v>
      </c>
      <c r="AB46" s="25">
        <f t="shared" si="5"/>
        <v>0.97958732713823804</v>
      </c>
      <c r="AC46" s="25">
        <f t="shared" si="6"/>
        <v>0.98244945024392216</v>
      </c>
      <c r="AD46" s="25">
        <f t="shared" si="7"/>
        <v>1.0017095235480762</v>
      </c>
      <c r="AE46" s="25">
        <f t="shared" si="8"/>
        <v>1.0474879205691932</v>
      </c>
      <c r="AF46" s="25">
        <f t="shared" si="9"/>
        <v>1.0087450258445636</v>
      </c>
      <c r="AH46" s="25">
        <f t="shared" si="10"/>
        <v>4.728674703806772E-4</v>
      </c>
      <c r="AI46" s="25">
        <f t="shared" si="10"/>
        <v>8.8733979041137265E-4</v>
      </c>
      <c r="AJ46" s="25">
        <f t="shared" si="10"/>
        <v>1.1188519174801729E-3</v>
      </c>
      <c r="AK46" s="25">
        <f t="shared" si="10"/>
        <v>3.11363918961758E-3</v>
      </c>
      <c r="AL46" s="25">
        <f t="shared" si="11"/>
        <v>4.1434450774335829E-3</v>
      </c>
    </row>
    <row r="47" spans="1:38" x14ac:dyDescent="0.2">
      <c r="A47" s="24">
        <v>43868</v>
      </c>
      <c r="B47" s="25">
        <v>57.222403999999997</v>
      </c>
      <c r="C47" s="25">
        <v>68.193129999999996</v>
      </c>
      <c r="D47" s="25">
        <v>11.81845</v>
      </c>
      <c r="E47" s="25">
        <v>51.389049999999997</v>
      </c>
      <c r="F47" s="25">
        <v>43.843966999999999</v>
      </c>
      <c r="G47" s="25">
        <v>138.382813</v>
      </c>
      <c r="H47" s="25">
        <v>28.63306</v>
      </c>
      <c r="I47" s="25">
        <v>92.593306999999996</v>
      </c>
      <c r="J47" s="25">
        <v>32.271464999999999</v>
      </c>
      <c r="K47" s="25">
        <v>45.381259999999997</v>
      </c>
      <c r="L47" s="25">
        <v>27404.269531000002</v>
      </c>
      <c r="Z47" s="24">
        <v>43866</v>
      </c>
      <c r="AA47" s="26">
        <v>42</v>
      </c>
      <c r="AB47" s="25">
        <f t="shared" si="5"/>
        <v>0.98005065165655192</v>
      </c>
      <c r="AC47" s="25">
        <f t="shared" si="6"/>
        <v>0.98332160362416443</v>
      </c>
      <c r="AD47" s="25">
        <f t="shared" si="7"/>
        <v>1.0028309153879786</v>
      </c>
      <c r="AE47" s="25">
        <f t="shared" si="8"/>
        <v>1.0507545028495731</v>
      </c>
      <c r="AF47" s="25">
        <f t="shared" si="9"/>
        <v>1.012933376564692</v>
      </c>
      <c r="AH47" s="25">
        <f t="shared" si="10"/>
        <v>2.4833380998200094E-2</v>
      </c>
      <c r="AI47" s="25">
        <f t="shared" si="10"/>
        <v>2.4633156229098632E-2</v>
      </c>
      <c r="AJ47" s="25">
        <f t="shared" si="10"/>
        <v>2.4986980153523339E-2</v>
      </c>
      <c r="AK47" s="25">
        <f t="shared" si="10"/>
        <v>2.5212892965015977E-2</v>
      </c>
      <c r="AL47" s="25">
        <f t="shared" si="11"/>
        <v>2.6049861420615272E-2</v>
      </c>
    </row>
    <row r="48" spans="1:38" x14ac:dyDescent="0.2">
      <c r="A48" s="24">
        <v>43871</v>
      </c>
      <c r="B48" s="25">
        <v>56.937508000000001</v>
      </c>
      <c r="C48" s="25">
        <v>67.734322000000006</v>
      </c>
      <c r="D48" s="25">
        <v>11.756000999999999</v>
      </c>
      <c r="E48" s="25">
        <v>51.655777</v>
      </c>
      <c r="F48" s="25">
        <v>43.573081999999999</v>
      </c>
      <c r="G48" s="25">
        <v>137.448364</v>
      </c>
      <c r="H48" s="25">
        <v>28.63306</v>
      </c>
      <c r="I48" s="25">
        <v>91.940658999999997</v>
      </c>
      <c r="J48" s="25">
        <v>32.144660999999999</v>
      </c>
      <c r="K48" s="25">
        <v>44.908203</v>
      </c>
      <c r="L48" s="25">
        <v>27241.339843999998</v>
      </c>
      <c r="Z48" s="24">
        <v>43867</v>
      </c>
      <c r="AA48" s="26">
        <v>43</v>
      </c>
      <c r="AB48" s="25">
        <f t="shared" si="5"/>
        <v>1.0046933370754756</v>
      </c>
      <c r="AC48" s="25">
        <f t="shared" si="6"/>
        <v>1.0078447191536091</v>
      </c>
      <c r="AD48" s="25">
        <f t="shared" si="7"/>
        <v>1.0282043137271881</v>
      </c>
      <c r="AE48" s="25">
        <f t="shared" si="8"/>
        <v>1.077583865336784</v>
      </c>
      <c r="AF48" s="25">
        <f t="shared" si="9"/>
        <v>1.0396668404170741</v>
      </c>
      <c r="AH48" s="25">
        <f t="shared" si="10"/>
        <v>1.0459511127959998E-3</v>
      </c>
      <c r="AI48" s="25">
        <f t="shared" si="10"/>
        <v>3.0760839402775228E-4</v>
      </c>
      <c r="AJ48" s="25">
        <f t="shared" si="10"/>
        <v>-3.6941711093578695E-3</v>
      </c>
      <c r="AK48" s="25">
        <f t="shared" si="10"/>
        <v>-1.3066248426308255E-2</v>
      </c>
      <c r="AL48" s="25">
        <f t="shared" si="11"/>
        <v>-3.2580355573337272E-3</v>
      </c>
    </row>
    <row r="49" spans="1:38" x14ac:dyDescent="0.2">
      <c r="A49" s="24">
        <v>43872</v>
      </c>
      <c r="B49" s="25">
        <v>57.141002999999998</v>
      </c>
      <c r="C49" s="25">
        <v>68.151404999999997</v>
      </c>
      <c r="D49" s="25">
        <v>11.787224999999999</v>
      </c>
      <c r="E49" s="25">
        <v>52.144775000000003</v>
      </c>
      <c r="F49" s="25">
        <v>43.921356000000003</v>
      </c>
      <c r="G49" s="25">
        <v>137.53329500000001</v>
      </c>
      <c r="H49" s="25">
        <v>28.672225999999998</v>
      </c>
      <c r="I49" s="25">
        <v>91.695922999999993</v>
      </c>
      <c r="J49" s="25">
        <v>32.271464999999999</v>
      </c>
      <c r="K49" s="25">
        <v>45.759697000000003</v>
      </c>
      <c r="L49" s="25">
        <v>27583.880859000001</v>
      </c>
      <c r="Z49" s="24">
        <v>43868</v>
      </c>
      <c r="AA49" s="26">
        <v>44</v>
      </c>
      <c r="AB49" s="25">
        <f t="shared" si="5"/>
        <v>1.0057447469552205</v>
      </c>
      <c r="AC49" s="25">
        <f t="shared" si="6"/>
        <v>1.008154788336594</v>
      </c>
      <c r="AD49" s="25">
        <f t="shared" si="7"/>
        <v>1.0244129583263799</v>
      </c>
      <c r="AE49" s="25">
        <f t="shared" si="8"/>
        <v>1.0635954737673776</v>
      </c>
      <c r="AF49" s="25">
        <f t="shared" si="9"/>
        <v>1.0362850808211088</v>
      </c>
      <c r="AH49" s="25">
        <f t="shared" si="10"/>
        <v>-4.3435856362879239E-3</v>
      </c>
      <c r="AI49" s="25">
        <f t="shared" si="10"/>
        <v>-4.2640057634315241E-3</v>
      </c>
      <c r="AJ49" s="25">
        <f t="shared" si="10"/>
        <v>-6.3740138798826333E-3</v>
      </c>
      <c r="AK49" s="25">
        <f t="shared" si="10"/>
        <v>-1.0227416332263643E-2</v>
      </c>
      <c r="AL49" s="25">
        <f t="shared" si="11"/>
        <v>-5.9631568452740424E-3</v>
      </c>
    </row>
    <row r="50" spans="1:38" x14ac:dyDescent="0.2">
      <c r="A50" s="24">
        <v>43873</v>
      </c>
      <c r="B50" s="25">
        <v>57.629390999999998</v>
      </c>
      <c r="C50" s="25">
        <v>68.026291000000001</v>
      </c>
      <c r="D50" s="25">
        <v>11.849674</v>
      </c>
      <c r="E50" s="25">
        <v>52.767128</v>
      </c>
      <c r="F50" s="25">
        <v>44.153537999999998</v>
      </c>
      <c r="G50" s="25">
        <v>138.382813</v>
      </c>
      <c r="H50" s="25">
        <v>28.828908999999999</v>
      </c>
      <c r="I50" s="25">
        <v>92.756461999999999</v>
      </c>
      <c r="J50" s="25">
        <v>32.588470000000001</v>
      </c>
      <c r="K50" s="25">
        <v>46.043526</v>
      </c>
      <c r="L50" s="25">
        <v>27823.660156000002</v>
      </c>
      <c r="Z50" s="24">
        <v>43871</v>
      </c>
      <c r="AA50" s="26">
        <v>45</v>
      </c>
      <c r="AB50" s="25">
        <f t="shared" si="5"/>
        <v>1.0013856823572029</v>
      </c>
      <c r="AC50" s="25">
        <f t="shared" si="6"/>
        <v>1.0038651625027399</v>
      </c>
      <c r="AD50" s="25">
        <f t="shared" si="7"/>
        <v>1.0179041017192865</v>
      </c>
      <c r="AE50" s="25">
        <f t="shared" si="8"/>
        <v>1.0527730769620693</v>
      </c>
      <c r="AF50" s="25">
        <f t="shared" si="9"/>
        <v>1.0301239385337742</v>
      </c>
      <c r="AH50" s="25">
        <f t="shared" si="10"/>
        <v>4.5252613343188999E-3</v>
      </c>
      <c r="AI50" s="25">
        <f t="shared" si="10"/>
        <v>4.9435180190591822E-3</v>
      </c>
      <c r="AJ50" s="25">
        <f t="shared" si="10"/>
        <v>4.7864135491549505E-3</v>
      </c>
      <c r="AK50" s="25">
        <f t="shared" si="10"/>
        <v>6.1861734086877881E-3</v>
      </c>
      <c r="AL50" s="25">
        <f t="shared" si="11"/>
        <v>1.2495908556180879E-2</v>
      </c>
    </row>
    <row r="51" spans="1:38" x14ac:dyDescent="0.2">
      <c r="A51" s="24">
        <v>43874</v>
      </c>
      <c r="B51" s="25">
        <v>57.385196999999998</v>
      </c>
      <c r="C51" s="25">
        <v>68.401679999999999</v>
      </c>
      <c r="D51" s="25">
        <v>11.81845</v>
      </c>
      <c r="E51" s="25">
        <v>52.856037000000001</v>
      </c>
      <c r="F51" s="25">
        <v>44.114840999999998</v>
      </c>
      <c r="G51" s="25">
        <v>138.212906</v>
      </c>
      <c r="H51" s="25">
        <v>28.907247999999999</v>
      </c>
      <c r="I51" s="25">
        <v>92.838042999999999</v>
      </c>
      <c r="J51" s="25">
        <v>32.651874999999997</v>
      </c>
      <c r="K51" s="25">
        <v>46.295822000000001</v>
      </c>
      <c r="L51" s="25">
        <v>27730</v>
      </c>
      <c r="Z51" s="24">
        <v>43872</v>
      </c>
      <c r="AA51" s="26">
        <v>46</v>
      </c>
      <c r="AB51" s="25">
        <f t="shared" si="5"/>
        <v>1.0059274829330052</v>
      </c>
      <c r="AC51" s="25">
        <f t="shared" si="6"/>
        <v>1.0088400746747026</v>
      </c>
      <c r="AD51" s="25">
        <f t="shared" si="7"/>
        <v>1.0227878902955394</v>
      </c>
      <c r="AE51" s="25">
        <f t="shared" si="8"/>
        <v>1.0593058995292173</v>
      </c>
      <c r="AF51" s="25">
        <f t="shared" si="9"/>
        <v>1.0430770348756517</v>
      </c>
      <c r="AH51" s="25">
        <f t="shared" si="10"/>
        <v>7.5068401094780116E-3</v>
      </c>
      <c r="AI51" s="25">
        <f t="shared" si="10"/>
        <v>7.0427629713047789E-3</v>
      </c>
      <c r="AJ51" s="25">
        <f t="shared" si="10"/>
        <v>4.0090168859869199E-3</v>
      </c>
      <c r="AK51" s="25">
        <f t="shared" si="10"/>
        <v>-2.5400457898663645E-3</v>
      </c>
      <c r="AL51" s="25">
        <f t="shared" si="11"/>
        <v>8.6551682123623408E-3</v>
      </c>
    </row>
    <row r="52" spans="1:38" x14ac:dyDescent="0.2">
      <c r="A52" s="24">
        <v>43875</v>
      </c>
      <c r="B52" s="25">
        <v>57.670077999999997</v>
      </c>
      <c r="C52" s="25">
        <v>68.818732999999995</v>
      </c>
      <c r="D52" s="25">
        <v>11.880898</v>
      </c>
      <c r="E52" s="25">
        <v>53.033859</v>
      </c>
      <c r="F52" s="25">
        <v>44.114840999999998</v>
      </c>
      <c r="G52" s="25">
        <v>139.23230000000001</v>
      </c>
      <c r="H52" s="25">
        <v>29.142267</v>
      </c>
      <c r="I52" s="25">
        <v>94.224898999999994</v>
      </c>
      <c r="J52" s="25">
        <v>33.095688000000003</v>
      </c>
      <c r="K52" s="25">
        <v>46.926552000000001</v>
      </c>
      <c r="L52" s="25">
        <v>27815.599609000001</v>
      </c>
      <c r="Z52" s="24">
        <v>43873</v>
      </c>
      <c r="AA52" s="26">
        <v>47</v>
      </c>
      <c r="AB52" s="25">
        <f t="shared" si="5"/>
        <v>1.0135072341042815</v>
      </c>
      <c r="AC52" s="25">
        <f t="shared" si="6"/>
        <v>1.0159701745268419</v>
      </c>
      <c r="AD52" s="25">
        <f t="shared" si="7"/>
        <v>1.0268964944473653</v>
      </c>
      <c r="AE52" s="25">
        <f t="shared" si="8"/>
        <v>1.0566186283796408</v>
      </c>
      <c r="AF52" s="25">
        <f t="shared" si="9"/>
        <v>1.0521442244933057</v>
      </c>
      <c r="AH52" s="25">
        <f t="shared" si="10"/>
        <v>1.0706684324720342E-3</v>
      </c>
      <c r="AI52" s="25">
        <f t="shared" si="10"/>
        <v>8.4876337804844562E-4</v>
      </c>
      <c r="AJ52" s="25">
        <f t="shared" si="10"/>
        <v>1.3428075450947624E-4</v>
      </c>
      <c r="AK52" s="25">
        <f t="shared" si="10"/>
        <v>-1.9292296377323298E-3</v>
      </c>
      <c r="AL52" s="25">
        <f t="shared" si="11"/>
        <v>-3.371883849844437E-3</v>
      </c>
    </row>
    <row r="53" spans="1:38" x14ac:dyDescent="0.2">
      <c r="A53" s="24">
        <v>43878</v>
      </c>
      <c r="B53" s="25">
        <v>58.117775000000002</v>
      </c>
      <c r="C53" s="25">
        <v>68.818732999999995</v>
      </c>
      <c r="D53" s="25">
        <v>11.912122</v>
      </c>
      <c r="E53" s="25">
        <v>52.811588</v>
      </c>
      <c r="F53" s="25">
        <v>44.269629999999999</v>
      </c>
      <c r="G53" s="25">
        <v>139.74200400000001</v>
      </c>
      <c r="H53" s="25">
        <v>29.338115999999999</v>
      </c>
      <c r="I53" s="25">
        <v>94.388053999999997</v>
      </c>
      <c r="J53" s="25">
        <v>33.159092000000001</v>
      </c>
      <c r="K53" s="25">
        <v>47.336539999999999</v>
      </c>
      <c r="L53" s="25">
        <v>27959.599609000001</v>
      </c>
      <c r="Z53" s="24">
        <v>43874</v>
      </c>
      <c r="AA53" s="26">
        <v>48</v>
      </c>
      <c r="AB53" s="25">
        <f t="shared" si="5"/>
        <v>1.0145929454206202</v>
      </c>
      <c r="AC53" s="25">
        <f t="shared" si="6"/>
        <v>1.0168328588598143</v>
      </c>
      <c r="AD53" s="25">
        <f t="shared" si="7"/>
        <v>1.0270343961420074</v>
      </c>
      <c r="AE53" s="25">
        <f t="shared" si="8"/>
        <v>1.0545821334707988</v>
      </c>
      <c r="AF53" s="25">
        <f t="shared" si="9"/>
        <v>1.0486024908878766</v>
      </c>
      <c r="AH53" s="25">
        <f t="shared" si="10"/>
        <v>8.9202448546833266E-3</v>
      </c>
      <c r="AI53" s="25">
        <f t="shared" si="10"/>
        <v>7.6482948506472019E-3</v>
      </c>
      <c r="AJ53" s="25">
        <f t="shared" si="10"/>
        <v>4.5724883141472668E-3</v>
      </c>
      <c r="AK53" s="25">
        <f t="shared" si="10"/>
        <v>-4.7404074961437045E-3</v>
      </c>
      <c r="AL53" s="25">
        <f t="shared" si="11"/>
        <v>3.0821407047909588E-3</v>
      </c>
    </row>
    <row r="54" spans="1:38" x14ac:dyDescent="0.2">
      <c r="A54" s="24">
        <v>43879</v>
      </c>
      <c r="B54" s="25">
        <v>57.222403999999997</v>
      </c>
      <c r="C54" s="25">
        <v>68.026291000000001</v>
      </c>
      <c r="D54" s="25">
        <v>11.834061999999999</v>
      </c>
      <c r="E54" s="25">
        <v>51.344597</v>
      </c>
      <c r="F54" s="25">
        <v>43.573081999999999</v>
      </c>
      <c r="G54" s="25">
        <v>139.23230000000001</v>
      </c>
      <c r="H54" s="25">
        <v>29.024751999999999</v>
      </c>
      <c r="I54" s="25">
        <v>93.245934000000005</v>
      </c>
      <c r="J54" s="25">
        <v>32.588470000000001</v>
      </c>
      <c r="K54" s="25">
        <v>46.863483000000002</v>
      </c>
      <c r="L54" s="25">
        <v>27530.199218999998</v>
      </c>
      <c r="Z54" s="24">
        <v>43875</v>
      </c>
      <c r="AA54" s="26">
        <v>49</v>
      </c>
      <c r="AB54" s="25">
        <f t="shared" si="5"/>
        <v>1.0236838491845992</v>
      </c>
      <c r="AC54" s="25">
        <f t="shared" si="6"/>
        <v>1.0246397128828695</v>
      </c>
      <c r="AD54" s="25">
        <f t="shared" si="7"/>
        <v>1.0317412517369251</v>
      </c>
      <c r="AE54" s="25">
        <f t="shared" si="8"/>
        <v>1.0495948147209473</v>
      </c>
      <c r="AF54" s="25">
        <f t="shared" si="9"/>
        <v>1.0518394170767129</v>
      </c>
      <c r="AH54" s="25">
        <f t="shared" si="10"/>
        <v>2.7461586189984587E-3</v>
      </c>
      <c r="AI54" s="25">
        <f t="shared" si="10"/>
        <v>2.59328760862957E-3</v>
      </c>
      <c r="AJ54" s="25">
        <f t="shared" si="10"/>
        <v>3.0628004255375645E-3</v>
      </c>
      <c r="AK54" s="25">
        <f t="shared" si="10"/>
        <v>3.8721583658906863E-3</v>
      </c>
      <c r="AL54" s="25">
        <f t="shared" si="11"/>
        <v>5.1635967946896955E-3</v>
      </c>
    </row>
    <row r="55" spans="1:38" x14ac:dyDescent="0.2">
      <c r="A55" s="24">
        <v>43880</v>
      </c>
      <c r="B55" s="25">
        <v>57.018917000000002</v>
      </c>
      <c r="C55" s="25">
        <v>68.568481000000006</v>
      </c>
      <c r="D55" s="25">
        <v>11.849674</v>
      </c>
      <c r="E55" s="25">
        <v>50.677788</v>
      </c>
      <c r="F55" s="25">
        <v>43.573081999999999</v>
      </c>
      <c r="G55" s="25">
        <v>139.06243900000001</v>
      </c>
      <c r="H55" s="25">
        <v>28.985583999999999</v>
      </c>
      <c r="I55" s="25">
        <v>93.816993999999994</v>
      </c>
      <c r="J55" s="25">
        <v>32.651874999999997</v>
      </c>
      <c r="K55" s="25">
        <v>47.336539999999999</v>
      </c>
      <c r="L55" s="25">
        <v>27655.810547000001</v>
      </c>
      <c r="Z55" s="24">
        <v>43878</v>
      </c>
      <c r="AA55" s="26">
        <v>50</v>
      </c>
      <c r="AB55" s="25">
        <f t="shared" si="5"/>
        <v>1.0264989109441016</v>
      </c>
      <c r="AC55" s="25">
        <f t="shared" si="6"/>
        <v>1.0273003467569322</v>
      </c>
      <c r="AD55" s="25">
        <f t="shared" si="7"/>
        <v>1.0349061134776694</v>
      </c>
      <c r="AE55" s="25">
        <f t="shared" si="8"/>
        <v>1.0536668908374394</v>
      </c>
      <c r="AF55" s="25">
        <f t="shared" si="9"/>
        <v>1.0572847383420521</v>
      </c>
      <c r="AH55" s="25">
        <f t="shared" si="10"/>
        <v>-1.4178884122850843E-2</v>
      </c>
      <c r="AI55" s="25">
        <f t="shared" si="10"/>
        <v>-1.4216420512113609E-2</v>
      </c>
      <c r="AJ55" s="25">
        <f t="shared" si="10"/>
        <v>-1.1869196582590134E-2</v>
      </c>
      <c r="AK55" s="25">
        <f t="shared" si="10"/>
        <v>-8.2933243672907025E-3</v>
      </c>
      <c r="AL55" s="25">
        <f t="shared" si="11"/>
        <v>-1.5477041565851835E-2</v>
      </c>
    </row>
    <row r="56" spans="1:38" x14ac:dyDescent="0.2">
      <c r="A56" s="24">
        <v>43881</v>
      </c>
      <c r="B56" s="25">
        <v>56.937508000000001</v>
      </c>
      <c r="C56" s="25">
        <v>68.693618999999998</v>
      </c>
      <c r="D56" s="25">
        <v>11.81845</v>
      </c>
      <c r="E56" s="25">
        <v>50.499966000000001</v>
      </c>
      <c r="F56" s="25">
        <v>43.766567000000002</v>
      </c>
      <c r="G56" s="25">
        <v>139.657059</v>
      </c>
      <c r="H56" s="25">
        <v>28.554715999999999</v>
      </c>
      <c r="I56" s="25">
        <v>92.756461999999999</v>
      </c>
      <c r="J56" s="25">
        <v>32.271464999999999</v>
      </c>
      <c r="K56" s="25">
        <v>46.485035000000003</v>
      </c>
      <c r="L56" s="25">
        <v>27609.160156000002</v>
      </c>
      <c r="Z56" s="24">
        <v>43879</v>
      </c>
      <c r="AA56" s="26">
        <v>51</v>
      </c>
      <c r="AB56" s="25">
        <f t="shared" si="5"/>
        <v>1.0120469999371338</v>
      </c>
      <c r="AC56" s="25">
        <f t="shared" si="6"/>
        <v>1.0127991349295755</v>
      </c>
      <c r="AD56" s="25">
        <f t="shared" si="7"/>
        <v>1.0226952194763026</v>
      </c>
      <c r="AE56" s="25">
        <f t="shared" si="8"/>
        <v>1.0449646247721269</v>
      </c>
      <c r="AF56" s="25">
        <f t="shared" si="9"/>
        <v>1.0410470780989136</v>
      </c>
      <c r="AH56" s="25">
        <f t="shared" si="10"/>
        <v>9.5742136105344058E-4</v>
      </c>
      <c r="AI56" s="25">
        <f t="shared" si="10"/>
        <v>4.6625065849534818E-4</v>
      </c>
      <c r="AJ56" s="25">
        <f t="shared" si="10"/>
        <v>2.939662903535669E-3</v>
      </c>
      <c r="AK56" s="25">
        <f t="shared" si="10"/>
        <v>6.2181800481464905E-3</v>
      </c>
      <c r="AL56" s="25">
        <f t="shared" si="11"/>
        <v>4.5522966946549559E-3</v>
      </c>
    </row>
    <row r="57" spans="1:38" x14ac:dyDescent="0.2">
      <c r="A57" s="24">
        <v>43882</v>
      </c>
      <c r="B57" s="25">
        <v>56.489818999999997</v>
      </c>
      <c r="C57" s="25">
        <v>68.401679999999999</v>
      </c>
      <c r="D57" s="25">
        <v>11.771611999999999</v>
      </c>
      <c r="E57" s="25">
        <v>50.366610999999999</v>
      </c>
      <c r="F57" s="25">
        <v>43.650478</v>
      </c>
      <c r="G57" s="25">
        <v>138.637619</v>
      </c>
      <c r="H57" s="25">
        <v>28.241361999999999</v>
      </c>
      <c r="I57" s="25">
        <v>91.777495999999999</v>
      </c>
      <c r="J57" s="25">
        <v>31.827652</v>
      </c>
      <c r="K57" s="25">
        <v>45.633549000000002</v>
      </c>
      <c r="L57" s="25">
        <v>27308.810547000001</v>
      </c>
      <c r="Z57" s="24">
        <v>43880</v>
      </c>
      <c r="AA57" s="26">
        <v>52</v>
      </c>
      <c r="AB57" s="25">
        <f t="shared" si="5"/>
        <v>1.0130164193506388</v>
      </c>
      <c r="AC57" s="25">
        <f t="shared" si="6"/>
        <v>1.0132714632963093</v>
      </c>
      <c r="AD57" s="25">
        <f t="shared" si="7"/>
        <v>1.0257060218785028</v>
      </c>
      <c r="AE57" s="25">
        <f t="shared" si="8"/>
        <v>1.0514826470689917</v>
      </c>
      <c r="AF57" s="25">
        <f t="shared" si="9"/>
        <v>1.0457970366789546</v>
      </c>
      <c r="AH57" s="25">
        <f t="shared" si="10"/>
        <v>-6.5258061254344739E-3</v>
      </c>
      <c r="AI57" s="25">
        <f t="shared" si="10"/>
        <v>-4.9259414569361951E-3</v>
      </c>
      <c r="AJ57" s="25">
        <f t="shared" si="10"/>
        <v>1.8707298544526005E-4</v>
      </c>
      <c r="AK57" s="25">
        <f t="shared" si="10"/>
        <v>1.3782460399328809E-2</v>
      </c>
      <c r="AL57" s="25">
        <f t="shared" si="11"/>
        <v>-1.6882448859281141E-3</v>
      </c>
    </row>
    <row r="58" spans="1:38" x14ac:dyDescent="0.2">
      <c r="A58" s="24">
        <v>43885</v>
      </c>
      <c r="B58" s="25">
        <v>55.960746999999998</v>
      </c>
      <c r="C58" s="25">
        <v>68.234825000000001</v>
      </c>
      <c r="D58" s="25">
        <v>11.709163999999999</v>
      </c>
      <c r="E58" s="25">
        <v>50.233238</v>
      </c>
      <c r="F58" s="25">
        <v>44.385722999999999</v>
      </c>
      <c r="G58" s="25">
        <v>137.19348099999999</v>
      </c>
      <c r="H58" s="25">
        <v>28.045511000000001</v>
      </c>
      <c r="I58" s="25">
        <v>90.635368</v>
      </c>
      <c r="J58" s="25">
        <v>31.383838999999998</v>
      </c>
      <c r="K58" s="25">
        <v>45.034362999999999</v>
      </c>
      <c r="L58" s="25">
        <v>26820.880859000001</v>
      </c>
      <c r="Z58" s="24">
        <v>43881</v>
      </c>
      <c r="AA58" s="26">
        <v>53</v>
      </c>
      <c r="AB58" s="25">
        <f t="shared" si="5"/>
        <v>1.006427193983831</v>
      </c>
      <c r="AC58" s="25">
        <f t="shared" si="6"/>
        <v>1.0082924206923103</v>
      </c>
      <c r="AD58" s="25">
        <f t="shared" si="7"/>
        <v>1.0258979217152828</v>
      </c>
      <c r="AE58" s="25">
        <f t="shared" si="8"/>
        <v>1.0660749932378992</v>
      </c>
      <c r="AF58" s="25">
        <f t="shared" si="9"/>
        <v>1.0440329646918109</v>
      </c>
      <c r="AH58" s="25">
        <f t="shared" si="10"/>
        <v>-9.2795276761723153E-3</v>
      </c>
      <c r="AI58" s="25">
        <f t="shared" si="10"/>
        <v>-8.0571131065510886E-3</v>
      </c>
      <c r="AJ58" s="25">
        <f t="shared" si="10"/>
        <v>-5.030398980574835E-3</v>
      </c>
      <c r="AK58" s="25">
        <f t="shared" si="10"/>
        <v>3.3640603383122969E-3</v>
      </c>
      <c r="AL58" s="25">
        <f t="shared" si="11"/>
        <v>-1.0938226586123534E-2</v>
      </c>
    </row>
    <row r="59" spans="1:38" x14ac:dyDescent="0.2">
      <c r="A59" s="24">
        <v>43886</v>
      </c>
      <c r="B59" s="25">
        <v>55.716545000000004</v>
      </c>
      <c r="C59" s="25">
        <v>68.610207000000003</v>
      </c>
      <c r="D59" s="25">
        <v>11.677939</v>
      </c>
      <c r="E59" s="25">
        <v>49.833153000000003</v>
      </c>
      <c r="F59" s="25">
        <v>43.650478</v>
      </c>
      <c r="G59" s="25">
        <v>137.19348099999999</v>
      </c>
      <c r="H59" s="25">
        <v>27.888833999999999</v>
      </c>
      <c r="I59" s="25">
        <v>90.716956999999994</v>
      </c>
      <c r="J59" s="25">
        <v>31.447244999999999</v>
      </c>
      <c r="K59" s="25">
        <v>44.939743</v>
      </c>
      <c r="L59" s="25">
        <v>26893.230468999998</v>
      </c>
      <c r="Z59" s="24">
        <v>43882</v>
      </c>
      <c r="AA59" s="26">
        <v>54</v>
      </c>
      <c r="AB59" s="25">
        <f t="shared" si="5"/>
        <v>0.99713122280010424</v>
      </c>
      <c r="AC59" s="25">
        <f t="shared" si="6"/>
        <v>1.0002011345898028</v>
      </c>
      <c r="AD59" s="25">
        <f t="shared" si="7"/>
        <v>1.0207502042472718</v>
      </c>
      <c r="AE59" s="25">
        <f t="shared" si="8"/>
        <v>1.0696673729434778</v>
      </c>
      <c r="AF59" s="25">
        <f t="shared" si="9"/>
        <v>1.0326753250187277</v>
      </c>
      <c r="AH59" s="25">
        <f t="shared" si="10"/>
        <v>-7.5396504789952499E-3</v>
      </c>
      <c r="AI59" s="25">
        <f t="shared" si="10"/>
        <v>-5.3934444615627193E-3</v>
      </c>
      <c r="AJ59" s="25">
        <f t="shared" si="10"/>
        <v>2.6151095262768216E-3</v>
      </c>
      <c r="AK59" s="25">
        <f t="shared" si="10"/>
        <v>2.3053777427919794E-2</v>
      </c>
      <c r="AL59" s="25">
        <f t="shared" si="11"/>
        <v>-1.802866010655535E-2</v>
      </c>
    </row>
    <row r="60" spans="1:38" x14ac:dyDescent="0.2">
      <c r="A60" s="24">
        <v>43887</v>
      </c>
      <c r="B60" s="25">
        <v>55.594451999999997</v>
      </c>
      <c r="C60" s="25">
        <v>68.610207000000003</v>
      </c>
      <c r="D60" s="25">
        <v>11.677939</v>
      </c>
      <c r="E60" s="25">
        <v>49.433059999999998</v>
      </c>
      <c r="F60" s="25">
        <v>43.302199999999999</v>
      </c>
      <c r="G60" s="25">
        <v>137.27844200000001</v>
      </c>
      <c r="H60" s="25">
        <v>28.006346000000001</v>
      </c>
      <c r="I60" s="25">
        <v>90.880127000000002</v>
      </c>
      <c r="J60" s="25">
        <v>31.447244999999999</v>
      </c>
      <c r="K60" s="25">
        <v>45.002811000000001</v>
      </c>
      <c r="L60" s="25">
        <v>26696.490234000001</v>
      </c>
      <c r="Z60" s="24">
        <v>43885</v>
      </c>
      <c r="AA60" s="26">
        <v>55</v>
      </c>
      <c r="AB60" s="25">
        <f t="shared" si="5"/>
        <v>0.98964147242885314</v>
      </c>
      <c r="AC60" s="25">
        <f t="shared" si="6"/>
        <v>0.99482112674843826</v>
      </c>
      <c r="AD60" s="25">
        <f t="shared" si="7"/>
        <v>1.0234230712270322</v>
      </c>
      <c r="AE60" s="25">
        <f t="shared" si="8"/>
        <v>1.0946136951047345</v>
      </c>
      <c r="AF60" s="25">
        <f t="shared" si="9"/>
        <v>1.0142243951155563</v>
      </c>
      <c r="AH60" s="25">
        <f t="shared" si="10"/>
        <v>-1.9852624511274026E-3</v>
      </c>
      <c r="AI60" s="25">
        <f t="shared" si="10"/>
        <v>-3.1127564536774337E-3</v>
      </c>
      <c r="AJ60" s="25">
        <f t="shared" si="10"/>
        <v>-5.5414335734489256E-3</v>
      </c>
      <c r="AK60" s="25">
        <f t="shared" si="10"/>
        <v>-1.3491747224775447E-2</v>
      </c>
      <c r="AL60" s="25">
        <f t="shared" si="11"/>
        <v>2.6938788323800367E-3</v>
      </c>
    </row>
    <row r="61" spans="1:38" x14ac:dyDescent="0.2">
      <c r="A61" s="24">
        <v>43888</v>
      </c>
      <c r="B61" s="25">
        <v>56.001438</v>
      </c>
      <c r="C61" s="25">
        <v>68.735305999999994</v>
      </c>
      <c r="D61" s="25">
        <v>11.802835999999999</v>
      </c>
      <c r="E61" s="25">
        <v>48.549537999999998</v>
      </c>
      <c r="F61" s="25">
        <v>43.224808000000003</v>
      </c>
      <c r="G61" s="25">
        <v>138.80755600000001</v>
      </c>
      <c r="H61" s="25">
        <v>28.241361999999999</v>
      </c>
      <c r="I61" s="25">
        <v>92.266982999999996</v>
      </c>
      <c r="J61" s="25">
        <v>32.017856999999999</v>
      </c>
      <c r="K61" s="25">
        <v>44.529774000000003</v>
      </c>
      <c r="L61" s="25">
        <v>26778.619140999999</v>
      </c>
      <c r="Z61" s="24">
        <v>43886</v>
      </c>
      <c r="AA61" s="26">
        <v>56</v>
      </c>
      <c r="AB61" s="25">
        <f t="shared" si="5"/>
        <v>0.98767872330427386</v>
      </c>
      <c r="AC61" s="25">
        <f t="shared" si="6"/>
        <v>0.9917293054057692</v>
      </c>
      <c r="AD61" s="25">
        <f t="shared" si="7"/>
        <v>1.0177675246504245</v>
      </c>
      <c r="AE61" s="25">
        <f t="shared" si="8"/>
        <v>1.0799446220480244</v>
      </c>
      <c r="AF61" s="25">
        <f t="shared" si="9"/>
        <v>1.0169602761563339</v>
      </c>
      <c r="AH61" s="25">
        <f t="shared" si="10"/>
        <v>-8.4181173401932582E-4</v>
      </c>
      <c r="AI61" s="25">
        <f t="shared" si="10"/>
        <v>-1.5361120126262968E-3</v>
      </c>
      <c r="AJ61" s="25">
        <f t="shared" si="10"/>
        <v>-2.6412712375507037E-3</v>
      </c>
      <c r="AK61" s="25">
        <f t="shared" si="10"/>
        <v>-6.8612835586985416E-3</v>
      </c>
      <c r="AL61" s="25">
        <f t="shared" si="11"/>
        <v>-7.3424946542104408E-3</v>
      </c>
    </row>
    <row r="62" spans="1:38" x14ac:dyDescent="0.2">
      <c r="A62" s="24">
        <v>43889</v>
      </c>
      <c r="B62" s="25">
        <v>55.228167999999997</v>
      </c>
      <c r="C62" s="25">
        <v>68.234825000000001</v>
      </c>
      <c r="D62" s="25">
        <v>11.709163999999999</v>
      </c>
      <c r="E62" s="25">
        <v>47.433968</v>
      </c>
      <c r="F62" s="25">
        <v>42.953926000000003</v>
      </c>
      <c r="G62" s="25">
        <v>138.04298399999999</v>
      </c>
      <c r="H62" s="25">
        <v>28.006346000000001</v>
      </c>
      <c r="I62" s="25">
        <v>90.390647999999999</v>
      </c>
      <c r="J62" s="25">
        <v>31.764251999999999</v>
      </c>
      <c r="K62" s="25">
        <v>44.277470000000001</v>
      </c>
      <c r="L62" s="25">
        <v>26129.929688</v>
      </c>
      <c r="Z62" s="24">
        <v>43887</v>
      </c>
      <c r="AA62" s="26">
        <v>57</v>
      </c>
      <c r="AB62" s="25">
        <f t="shared" si="5"/>
        <v>0.98684763362515615</v>
      </c>
      <c r="AC62" s="25">
        <f t="shared" si="6"/>
        <v>0.99020706756970267</v>
      </c>
      <c r="AD62" s="25">
        <f t="shared" si="7"/>
        <v>1.0150828715702822</v>
      </c>
      <c r="AE62" s="25">
        <f t="shared" si="8"/>
        <v>1.0725601781202141</v>
      </c>
      <c r="AF62" s="25">
        <f t="shared" si="9"/>
        <v>1.0095205970911025</v>
      </c>
      <c r="AH62" s="25">
        <f t="shared" si="10"/>
        <v>7.8662397008863634E-3</v>
      </c>
      <c r="AI62" s="25">
        <f t="shared" si="10"/>
        <v>5.7167691222382785E-3</v>
      </c>
      <c r="AJ62" s="25">
        <f t="shared" si="10"/>
        <v>6.6482312123815109E-3</v>
      </c>
      <c r="AK62" s="25">
        <f t="shared" si="10"/>
        <v>2.4254306313465646E-3</v>
      </c>
      <c r="AL62" s="25">
        <f t="shared" si="11"/>
        <v>3.0716710086178267E-3</v>
      </c>
    </row>
    <row r="63" spans="1:38" x14ac:dyDescent="0.2">
      <c r="A63" s="24">
        <v>43892</v>
      </c>
      <c r="B63" s="25">
        <v>54.373497</v>
      </c>
      <c r="C63" s="25">
        <v>67.442368000000002</v>
      </c>
      <c r="D63" s="25">
        <v>11.646716</v>
      </c>
      <c r="E63" s="25">
        <v>47.121608999999999</v>
      </c>
      <c r="F63" s="25">
        <v>42.373469999999998</v>
      </c>
      <c r="G63" s="25">
        <v>137.53329500000001</v>
      </c>
      <c r="H63" s="25">
        <v>28.045511000000001</v>
      </c>
      <c r="I63" s="25">
        <v>88.922202999999996</v>
      </c>
      <c r="J63" s="25">
        <v>31.225335999999999</v>
      </c>
      <c r="K63" s="25">
        <v>44.245941000000002</v>
      </c>
      <c r="L63" s="25">
        <v>26291.679688</v>
      </c>
      <c r="Z63" s="24">
        <v>43888</v>
      </c>
      <c r="AA63" s="26">
        <v>58</v>
      </c>
      <c r="AB63" s="25">
        <f t="shared" si="5"/>
        <v>0.99464102581863445</v>
      </c>
      <c r="AC63" s="25">
        <f t="shared" si="6"/>
        <v>0.99588406433708898</v>
      </c>
      <c r="AD63" s="25">
        <f t="shared" si="7"/>
        <v>1.0218538598086704</v>
      </c>
      <c r="AE63" s="25">
        <f t="shared" si="8"/>
        <v>1.0751647557645576</v>
      </c>
      <c r="AF63" s="25">
        <f t="shared" si="9"/>
        <v>1.0126262796173953</v>
      </c>
      <c r="AH63" s="25">
        <f t="shared" si="10"/>
        <v>-1.0087573999578901E-2</v>
      </c>
      <c r="AI63" s="25">
        <f t="shared" si="10"/>
        <v>-1.0211742637108662E-2</v>
      </c>
      <c r="AJ63" s="25">
        <f t="shared" si="10"/>
        <v>-6.898033617234069E-3</v>
      </c>
      <c r="AK63" s="25">
        <f t="shared" si="10"/>
        <v>-1.1729373435792473E-3</v>
      </c>
      <c r="AL63" s="25">
        <f t="shared" si="11"/>
        <v>-2.4522387188675054E-2</v>
      </c>
    </row>
    <row r="64" spans="1:38" x14ac:dyDescent="0.2">
      <c r="A64" s="24">
        <v>43893</v>
      </c>
      <c r="B64" s="25">
        <v>54.454891000000003</v>
      </c>
      <c r="C64" s="25">
        <v>67.734322000000006</v>
      </c>
      <c r="D64" s="25">
        <v>11.709163999999999</v>
      </c>
      <c r="E64" s="25">
        <v>46.898494999999997</v>
      </c>
      <c r="F64" s="25">
        <v>42.683044000000002</v>
      </c>
      <c r="G64" s="25">
        <v>135.35574299999999</v>
      </c>
      <c r="H64" s="25">
        <v>28.084679000000001</v>
      </c>
      <c r="I64" s="25">
        <v>88.922202999999996</v>
      </c>
      <c r="J64" s="25">
        <v>31.542345000000001</v>
      </c>
      <c r="K64" s="25">
        <v>43.867496000000003</v>
      </c>
      <c r="L64" s="25">
        <v>26284.820313</v>
      </c>
      <c r="Z64" s="24">
        <v>43889</v>
      </c>
      <c r="AA64" s="26">
        <v>59</v>
      </c>
      <c r="AB64" s="25">
        <f t="shared" si="5"/>
        <v>0.98465794804123163</v>
      </c>
      <c r="AC64" s="25">
        <f t="shared" si="6"/>
        <v>0.98576610151652933</v>
      </c>
      <c r="AD64" s="25">
        <f t="shared" si="7"/>
        <v>1.014829333096418</v>
      </c>
      <c r="AE64" s="25">
        <f t="shared" si="8"/>
        <v>1.0739043941791047</v>
      </c>
      <c r="AF64" s="25">
        <f t="shared" si="9"/>
        <v>0.98809626244363069</v>
      </c>
      <c r="AH64" s="25">
        <f t="shared" si="10"/>
        <v>-1.1029746827954035E-2</v>
      </c>
      <c r="AI64" s="25">
        <f t="shared" si="10"/>
        <v>-1.0498538630382893E-2</v>
      </c>
      <c r="AJ64" s="25">
        <f t="shared" si="10"/>
        <v>-1.2152884746245587E-2</v>
      </c>
      <c r="AK64" s="25">
        <f t="shared" si="10"/>
        <v>-1.4613552431346065E-2</v>
      </c>
      <c r="AL64" s="25">
        <f t="shared" si="11"/>
        <v>6.171138782329777E-3</v>
      </c>
    </row>
    <row r="65" spans="1:38" x14ac:dyDescent="0.2">
      <c r="A65" s="24">
        <v>43894</v>
      </c>
      <c r="B65" s="25">
        <v>54.821171</v>
      </c>
      <c r="C65" s="25">
        <v>68.318252999999999</v>
      </c>
      <c r="D65" s="25">
        <v>11.724776</v>
      </c>
      <c r="E65" s="25">
        <v>45.827553000000002</v>
      </c>
      <c r="F65" s="25">
        <v>42.799129000000001</v>
      </c>
      <c r="G65" s="25">
        <v>129.95547500000001</v>
      </c>
      <c r="H65" s="25">
        <v>28.241361999999999</v>
      </c>
      <c r="I65" s="25">
        <v>90.390647999999999</v>
      </c>
      <c r="J65" s="25">
        <v>31.700848000000001</v>
      </c>
      <c r="K65" s="25">
        <v>44.529774000000003</v>
      </c>
      <c r="L65" s="25">
        <v>26222.070313</v>
      </c>
      <c r="Z65" s="24">
        <v>43892</v>
      </c>
      <c r="AA65" s="26">
        <v>60</v>
      </c>
      <c r="AB65" s="25">
        <f t="shared" si="5"/>
        <v>0.97385709499771178</v>
      </c>
      <c r="AC65" s="25">
        <f t="shared" si="6"/>
        <v>0.97547113363674554</v>
      </c>
      <c r="AD65" s="25">
        <f t="shared" si="7"/>
        <v>1.0025708679048602</v>
      </c>
      <c r="AE65" s="25">
        <f t="shared" si="8"/>
        <v>1.0583249487854767</v>
      </c>
      <c r="AF65" s="25">
        <f t="shared" si="9"/>
        <v>0.99421279518438488</v>
      </c>
      <c r="AH65" s="25">
        <f t="shared" si="10"/>
        <v>2.7148531916159589E-3</v>
      </c>
      <c r="AI65" s="25">
        <f t="shared" si="10"/>
        <v>2.2682490134197722E-3</v>
      </c>
      <c r="AJ65" s="25">
        <f t="shared" si="10"/>
        <v>6.6472073155816498E-3</v>
      </c>
      <c r="AK65" s="25">
        <f t="shared" si="10"/>
        <v>1.3977297931511694E-2</v>
      </c>
      <c r="AL65" s="25">
        <f t="shared" si="11"/>
        <v>-2.6092931400256703E-4</v>
      </c>
    </row>
    <row r="66" spans="1:38" x14ac:dyDescent="0.2">
      <c r="A66" s="24">
        <v>43895</v>
      </c>
      <c r="B66" s="25">
        <v>55.187469</v>
      </c>
      <c r="C66" s="25">
        <v>71.272414999999995</v>
      </c>
      <c r="D66" s="25">
        <v>11.912122</v>
      </c>
      <c r="E66" s="25">
        <v>46.229152999999997</v>
      </c>
      <c r="F66" s="25">
        <v>43.805259999999997</v>
      </c>
      <c r="G66" s="25">
        <v>131.349121</v>
      </c>
      <c r="H66" s="25">
        <v>28.868075999999999</v>
      </c>
      <c r="I66" s="25">
        <v>92.756461999999999</v>
      </c>
      <c r="J66" s="25">
        <v>32.208061000000001</v>
      </c>
      <c r="K66" s="25">
        <v>44.908203</v>
      </c>
      <c r="L66" s="25">
        <v>26767.869140999999</v>
      </c>
      <c r="Z66" s="24">
        <v>43893</v>
      </c>
      <c r="AA66" s="26">
        <v>61</v>
      </c>
      <c r="AB66" s="25">
        <f t="shared" si="5"/>
        <v>0.97650456616193138</v>
      </c>
      <c r="AC66" s="25">
        <f t="shared" si="6"/>
        <v>0.97768625634846407</v>
      </c>
      <c r="AD66" s="25">
        <f t="shared" si="7"/>
        <v>1.0092573629513635</v>
      </c>
      <c r="AE66" s="25">
        <f t="shared" si="8"/>
        <v>1.0732213349986979</v>
      </c>
      <c r="AF66" s="25">
        <f t="shared" si="9"/>
        <v>0.99395340976386792</v>
      </c>
      <c r="AH66" s="25">
        <f t="shared" si="10"/>
        <v>9.1646925547422819E-4</v>
      </c>
      <c r="AI66" s="25">
        <f t="shared" si="10"/>
        <v>-1.4959159481968062E-4</v>
      </c>
      <c r="AJ66" s="25">
        <f t="shared" si="10"/>
        <v>5.7422728592137363E-3</v>
      </c>
      <c r="AK66" s="25">
        <f t="shared" si="10"/>
        <v>1.4773390522288016E-2</v>
      </c>
      <c r="AL66" s="25">
        <f t="shared" si="11"/>
        <v>-2.3901636194967324E-3</v>
      </c>
    </row>
    <row r="67" spans="1:38" x14ac:dyDescent="0.2">
      <c r="A67" s="24">
        <v>43896</v>
      </c>
      <c r="B67" s="25">
        <v>54.210686000000003</v>
      </c>
      <c r="C67" s="25">
        <v>70.920372</v>
      </c>
      <c r="D67" s="25">
        <v>11.802835999999999</v>
      </c>
      <c r="E67" s="25">
        <v>45.202831000000003</v>
      </c>
      <c r="F67" s="25">
        <v>43.456989</v>
      </c>
      <c r="G67" s="25">
        <v>128.12635800000001</v>
      </c>
      <c r="H67" s="25">
        <v>28.554715999999999</v>
      </c>
      <c r="I67" s="25">
        <v>90.635368</v>
      </c>
      <c r="J67" s="25">
        <v>31.415543</v>
      </c>
      <c r="K67" s="25">
        <v>43.741351999999999</v>
      </c>
      <c r="L67" s="25">
        <v>26146.669922000001</v>
      </c>
      <c r="Z67" s="24">
        <v>43894</v>
      </c>
      <c r="AA67" s="26">
        <v>62</v>
      </c>
      <c r="AB67" s="25">
        <f t="shared" si="5"/>
        <v>0.97739991279081018</v>
      </c>
      <c r="AC67" s="25">
        <f t="shared" si="6"/>
        <v>0.97754001364075627</v>
      </c>
      <c r="AD67" s="25">
        <f t="shared" si="7"/>
        <v>1.0150694654833792</v>
      </c>
      <c r="AE67" s="25">
        <f t="shared" si="8"/>
        <v>1.0891941486961556</v>
      </c>
      <c r="AF67" s="25">
        <f t="shared" si="9"/>
        <v>0.99158053539303437</v>
      </c>
      <c r="AH67" s="25">
        <f t="shared" si="10"/>
        <v>1.8104573203872435E-2</v>
      </c>
      <c r="AI67" s="25">
        <f t="shared" si="10"/>
        <v>1.8588454285039191E-2</v>
      </c>
      <c r="AJ67" s="25">
        <f t="shared" si="10"/>
        <v>2.5434494128220526E-2</v>
      </c>
      <c r="AK67" s="25">
        <f t="shared" si="10"/>
        <v>3.7644294036050588E-2</v>
      </c>
      <c r="AL67" s="25">
        <f t="shared" si="11"/>
        <v>2.060082107252903E-2</v>
      </c>
    </row>
    <row r="68" spans="1:38" x14ac:dyDescent="0.2">
      <c r="A68" s="24">
        <v>43899</v>
      </c>
      <c r="B68" s="25">
        <v>52.094363999999999</v>
      </c>
      <c r="C68" s="25">
        <v>69.589554000000007</v>
      </c>
      <c r="D68" s="25">
        <v>11.662329</v>
      </c>
      <c r="E68" s="25">
        <v>43.507164000000003</v>
      </c>
      <c r="F68" s="25">
        <v>42.760437000000003</v>
      </c>
      <c r="G68" s="25">
        <v>122.90025300000001</v>
      </c>
      <c r="H68" s="25">
        <v>27.497136999999999</v>
      </c>
      <c r="I68" s="25">
        <v>87.209014999999994</v>
      </c>
      <c r="J68" s="25">
        <v>29.830497999999999</v>
      </c>
      <c r="K68" s="25">
        <v>40.997658000000001</v>
      </c>
      <c r="L68" s="25">
        <v>25040.460938</v>
      </c>
      <c r="Z68" s="24">
        <v>43895</v>
      </c>
      <c r="AA68" s="26">
        <v>63</v>
      </c>
      <c r="AB68" s="25">
        <f t="shared" si="5"/>
        <v>0.9952564760469399</v>
      </c>
      <c r="AC68" s="25">
        <f t="shared" si="6"/>
        <v>0.99588090782395999</v>
      </c>
      <c r="AD68" s="25">
        <f t="shared" si="7"/>
        <v>1.041218376344426</v>
      </c>
      <c r="AE68" s="25">
        <f t="shared" si="8"/>
        <v>1.130977613878918</v>
      </c>
      <c r="AF68" s="25">
        <f t="shared" si="9"/>
        <v>1.0122197712590453</v>
      </c>
      <c r="AH68" s="25">
        <f t="shared" si="10"/>
        <v>-1.8559871015464108E-2</v>
      </c>
      <c r="AI68" s="25">
        <f t="shared" si="10"/>
        <v>-1.7018029780946201E-2</v>
      </c>
      <c r="AJ68" s="25">
        <f t="shared" si="10"/>
        <v>-9.3152324228028931E-3</v>
      </c>
      <c r="AK68" s="25">
        <f t="shared" si="10"/>
        <v>7.0304621017208968E-3</v>
      </c>
      <c r="AL68" s="25">
        <f t="shared" si="11"/>
        <v>-2.3480418434001393E-2</v>
      </c>
    </row>
    <row r="69" spans="1:38" x14ac:dyDescent="0.2">
      <c r="A69" s="24">
        <v>43900</v>
      </c>
      <c r="B69" s="25">
        <v>52.094363999999999</v>
      </c>
      <c r="C69" s="25">
        <v>69.890060000000005</v>
      </c>
      <c r="D69" s="25">
        <v>11.81845</v>
      </c>
      <c r="E69" s="25">
        <v>43.641033</v>
      </c>
      <c r="F69" s="25">
        <v>43.766567000000002</v>
      </c>
      <c r="G69" s="25">
        <v>124.729401</v>
      </c>
      <c r="H69" s="25">
        <v>27.967175000000001</v>
      </c>
      <c r="I69" s="25">
        <v>88.269553999999999</v>
      </c>
      <c r="J69" s="25">
        <v>30.020707999999999</v>
      </c>
      <c r="K69" s="25">
        <v>40.997658000000001</v>
      </c>
      <c r="L69" s="25">
        <v>25392.509765999999</v>
      </c>
      <c r="Z69" s="24">
        <v>43896</v>
      </c>
      <c r="AA69" s="26">
        <v>64</v>
      </c>
      <c r="AB69" s="25">
        <f t="shared" si="5"/>
        <v>0.97695500603968732</v>
      </c>
      <c r="AC69" s="25">
        <f t="shared" si="6"/>
        <v>0.97907637248394475</v>
      </c>
      <c r="AD69" s="25">
        <f t="shared" si="7"/>
        <v>1.0315642203297977</v>
      </c>
      <c r="AE69" s="25">
        <f t="shared" si="8"/>
        <v>1.1389569253884149</v>
      </c>
      <c r="AF69" s="25">
        <f t="shared" si="9"/>
        <v>0.98872928988937347</v>
      </c>
      <c r="AH69" s="25">
        <f t="shared" si="10"/>
        <v>-3.8287986245095412E-2</v>
      </c>
      <c r="AI69" s="25">
        <f t="shared" si="10"/>
        <v>-3.4830169321293278E-2</v>
      </c>
      <c r="AJ69" s="25">
        <f t="shared" si="10"/>
        <v>-2.0170005793583537E-2</v>
      </c>
      <c r="AK69" s="25">
        <f t="shared" si="10"/>
        <v>1.0630916637308946E-2</v>
      </c>
      <c r="AL69" s="25">
        <f t="shared" si="11"/>
        <v>-4.3228883033268772E-2</v>
      </c>
    </row>
    <row r="70" spans="1:38" x14ac:dyDescent="0.2">
      <c r="A70" s="24">
        <v>43901</v>
      </c>
      <c r="B70" s="25">
        <v>50.262923999999998</v>
      </c>
      <c r="C70" s="25">
        <v>70.920372</v>
      </c>
      <c r="D70" s="25">
        <v>11.927735</v>
      </c>
      <c r="E70" s="25">
        <v>43.417918999999998</v>
      </c>
      <c r="F70" s="25">
        <v>44.114840999999998</v>
      </c>
      <c r="G70" s="25">
        <v>124.468063</v>
      </c>
      <c r="H70" s="25">
        <v>28.163022999999999</v>
      </c>
      <c r="I70" s="25">
        <v>88.475898999999998</v>
      </c>
      <c r="J70" s="25">
        <v>29.925604</v>
      </c>
      <c r="K70" s="25">
        <v>41.123806000000002</v>
      </c>
      <c r="L70" s="25">
        <v>25231.609375</v>
      </c>
      <c r="Z70" s="24">
        <v>43899</v>
      </c>
      <c r="AA70" s="26">
        <v>65</v>
      </c>
      <c r="AB70" s="25">
        <f t="shared" ref="AB70:AB133" si="12">SUMPRODUCT(O$3:X$3,B68:K68)/SUMPRODUCT(O$3:X$3,B$3:K$3)</f>
        <v>0.94025640707641389</v>
      </c>
      <c r="AC70" s="25">
        <f t="shared" ref="AC70:AC133" si="13">SUMPRODUCT(O$7:X$7,B68:K68)/SUMPRODUCT(O$7:X$7,B$3:K$3)</f>
        <v>0.94556202000452916</v>
      </c>
      <c r="AD70" s="25">
        <f t="shared" ref="AD70:AD133" si="14">SUMPRODUCT(O$11:X$11,B68:K68)/SUMPRODUCT(O$11:X$11,B$3:K$3)</f>
        <v>1.0109659955113499</v>
      </c>
      <c r="AE70" s="25">
        <f t="shared" ref="AE70:AE133" si="15">SUMPRODUCT(O$15:X$15,B68:K68)/SUMPRODUCT(O$15:X$15,B$3:K$3)</f>
        <v>1.1511296705923675</v>
      </c>
      <c r="AF70" s="25">
        <f t="shared" ref="AF70:AF133" si="16">L68/L$3</f>
        <v>0.94689829471934284</v>
      </c>
      <c r="AH70" s="25">
        <f t="shared" ref="AH70:AK133" si="17">LN(AB71)-LN(AB70)</f>
        <v>9.2588427395121145E-3</v>
      </c>
      <c r="AI70" s="25">
        <f t="shared" si="17"/>
        <v>9.9198886387225974E-3</v>
      </c>
      <c r="AJ70" s="25">
        <f t="shared" si="17"/>
        <v>1.4413292411733307E-2</v>
      </c>
      <c r="AK70" s="25">
        <f t="shared" si="17"/>
        <v>2.2909431571857986E-2</v>
      </c>
      <c r="AL70" s="25">
        <f t="shared" ref="AL70:AL133" si="18">LN(L69)-LN(L68)</f>
        <v>1.3961285303633275E-2</v>
      </c>
    </row>
    <row r="71" spans="1:38" x14ac:dyDescent="0.2">
      <c r="A71" s="24">
        <v>43902</v>
      </c>
      <c r="B71" s="25">
        <v>47.658199000000003</v>
      </c>
      <c r="C71" s="25">
        <v>69.289032000000006</v>
      </c>
      <c r="D71" s="25">
        <v>11.693550999999999</v>
      </c>
      <c r="E71" s="25">
        <v>41.633011000000003</v>
      </c>
      <c r="F71" s="25">
        <v>42.799129000000001</v>
      </c>
      <c r="G71" s="25">
        <v>121.855026</v>
      </c>
      <c r="H71" s="25">
        <v>26.987932000000001</v>
      </c>
      <c r="I71" s="25">
        <v>85.092017999999996</v>
      </c>
      <c r="J71" s="25">
        <v>28.879470999999999</v>
      </c>
      <c r="K71" s="25">
        <v>39.420822000000001</v>
      </c>
      <c r="L71" s="25">
        <v>24309.070313</v>
      </c>
      <c r="Z71" s="24">
        <v>43900</v>
      </c>
      <c r="AA71" s="26">
        <v>66</v>
      </c>
      <c r="AB71" s="25">
        <f t="shared" si="12"/>
        <v>0.94900252024675757</v>
      </c>
      <c r="AC71" s="25">
        <f t="shared" si="13"/>
        <v>0.95498856779528862</v>
      </c>
      <c r="AD71" s="25">
        <f t="shared" si="14"/>
        <v>1.0256428609155646</v>
      </c>
      <c r="AE71" s="25">
        <f t="shared" si="15"/>
        <v>1.1778057977467173</v>
      </c>
      <c r="AF71" s="25">
        <f t="shared" si="16"/>
        <v>0.96021092645230199</v>
      </c>
      <c r="AH71" s="25">
        <f t="shared" si="17"/>
        <v>-1.5105342353313039E-4</v>
      </c>
      <c r="AI71" s="25">
        <f t="shared" si="17"/>
        <v>5.9896201851432351E-4</v>
      </c>
      <c r="AJ71" s="25">
        <f t="shared" si="17"/>
        <v>6.6821368515159879E-3</v>
      </c>
      <c r="AK71" s="25">
        <f t="shared" si="17"/>
        <v>1.6435169668851529E-2</v>
      </c>
      <c r="AL71" s="25">
        <f t="shared" si="18"/>
        <v>-6.3566906655800892E-3</v>
      </c>
    </row>
    <row r="72" spans="1:38" x14ac:dyDescent="0.2">
      <c r="A72" s="24">
        <v>43903</v>
      </c>
      <c r="B72" s="25">
        <v>45.134880000000003</v>
      </c>
      <c r="C72" s="25">
        <v>66.713241999999994</v>
      </c>
      <c r="D72" s="25">
        <v>11.474981</v>
      </c>
      <c r="E72" s="25">
        <v>40.785178999999999</v>
      </c>
      <c r="F72" s="25">
        <v>40.477299000000002</v>
      </c>
      <c r="G72" s="25">
        <v>121.419495</v>
      </c>
      <c r="H72" s="25">
        <v>26.361215999999999</v>
      </c>
      <c r="I72" s="25">
        <v>84.184157999999996</v>
      </c>
      <c r="J72" s="25">
        <v>27.801649000000001</v>
      </c>
      <c r="K72" s="25">
        <v>39.042385000000003</v>
      </c>
      <c r="L72" s="25">
        <v>24032.910156000002</v>
      </c>
      <c r="Z72" s="24">
        <v>43901</v>
      </c>
      <c r="AA72" s="26">
        <v>67</v>
      </c>
      <c r="AB72" s="25">
        <f t="shared" si="12"/>
        <v>0.94885918099334776</v>
      </c>
      <c r="AC72" s="25">
        <f t="shared" si="13"/>
        <v>0.95556074101342037</v>
      </c>
      <c r="AD72" s="25">
        <f t="shared" si="14"/>
        <v>1.0325192959262832</v>
      </c>
      <c r="AE72" s="25">
        <f t="shared" si="15"/>
        <v>1.1973231823071184</v>
      </c>
      <c r="AF72" s="25">
        <f t="shared" si="16"/>
        <v>0.95412652144734589</v>
      </c>
      <c r="AH72" s="25">
        <f t="shared" si="17"/>
        <v>-3.4336971688519624E-2</v>
      </c>
      <c r="AI72" s="25">
        <f t="shared" si="17"/>
        <v>-3.3509013384488931E-2</v>
      </c>
      <c r="AJ72" s="25">
        <f t="shared" si="17"/>
        <v>-2.7651054999969636E-2</v>
      </c>
      <c r="AK72" s="25">
        <f t="shared" si="17"/>
        <v>-1.8106623381518167E-2</v>
      </c>
      <c r="AL72" s="25">
        <f t="shared" si="18"/>
        <v>-3.7248004157293124E-2</v>
      </c>
    </row>
    <row r="73" spans="1:38" x14ac:dyDescent="0.2">
      <c r="A73" s="24">
        <v>43906</v>
      </c>
      <c r="B73" s="25">
        <v>43.181347000000002</v>
      </c>
      <c r="C73" s="25">
        <v>66.627380000000002</v>
      </c>
      <c r="D73" s="25">
        <v>11.240797000000001</v>
      </c>
      <c r="E73" s="25">
        <v>39.089511999999999</v>
      </c>
      <c r="F73" s="25">
        <v>39.548565000000004</v>
      </c>
      <c r="G73" s="25">
        <v>115.322411</v>
      </c>
      <c r="H73" s="25">
        <v>26.282875000000001</v>
      </c>
      <c r="I73" s="25">
        <v>83.193747999999999</v>
      </c>
      <c r="J73" s="25">
        <v>27.262733000000001</v>
      </c>
      <c r="K73" s="25">
        <v>35.794113000000003</v>
      </c>
      <c r="L73" s="25">
        <v>23063.570313</v>
      </c>
      <c r="Z73" s="24">
        <v>43902</v>
      </c>
      <c r="AA73" s="26">
        <v>68</v>
      </c>
      <c r="AB73" s="25">
        <f t="shared" si="12"/>
        <v>0.91683124802921223</v>
      </c>
      <c r="AC73" s="25">
        <f t="shared" si="13"/>
        <v>0.92407137852878052</v>
      </c>
      <c r="AD73" s="25">
        <f t="shared" si="14"/>
        <v>1.0043601571719598</v>
      </c>
      <c r="AE73" s="25">
        <f t="shared" si="15"/>
        <v>1.1758387942089006</v>
      </c>
      <c r="AF73" s="25">
        <f t="shared" si="16"/>
        <v>0.91924095497224434</v>
      </c>
      <c r="AH73" s="25">
        <f t="shared" si="17"/>
        <v>-3.0083194884715975E-2</v>
      </c>
      <c r="AI73" s="25">
        <f t="shared" si="17"/>
        <v>-3.099795332659519E-2</v>
      </c>
      <c r="AJ73" s="25">
        <f t="shared" si="17"/>
        <v>-4.1778170937577519E-2</v>
      </c>
      <c r="AK73" s="25">
        <f t="shared" si="17"/>
        <v>-6.3149553681419196E-2</v>
      </c>
      <c r="AL73" s="25">
        <f t="shared" si="18"/>
        <v>-1.1425397075978339E-2</v>
      </c>
    </row>
    <row r="74" spans="1:38" x14ac:dyDescent="0.2">
      <c r="A74" s="24">
        <v>43907</v>
      </c>
      <c r="B74" s="25">
        <v>43.222037999999998</v>
      </c>
      <c r="C74" s="25">
        <v>66.326858999999999</v>
      </c>
      <c r="D74" s="25">
        <v>11.459368</v>
      </c>
      <c r="E74" s="25">
        <v>40.115836999999999</v>
      </c>
      <c r="F74" s="25">
        <v>39.084198000000001</v>
      </c>
      <c r="G74" s="25">
        <v>114.974014</v>
      </c>
      <c r="H74" s="25">
        <v>26.282875000000001</v>
      </c>
      <c r="I74" s="25">
        <v>83.441353000000007</v>
      </c>
      <c r="J74" s="25">
        <v>27.833341999999998</v>
      </c>
      <c r="K74" s="25">
        <v>35.100304000000001</v>
      </c>
      <c r="L74" s="25">
        <v>23263.730468999998</v>
      </c>
      <c r="Z74" s="24">
        <v>43903</v>
      </c>
      <c r="AA74" s="26">
        <v>69</v>
      </c>
      <c r="AB74" s="25">
        <f t="shared" si="12"/>
        <v>0.88966077136341415</v>
      </c>
      <c r="AC74" s="25">
        <f t="shared" si="13"/>
        <v>0.89586646280653015</v>
      </c>
      <c r="AD74" s="25">
        <f t="shared" si="14"/>
        <v>0.9632642598323814</v>
      </c>
      <c r="AE74" s="25">
        <f t="shared" si="15"/>
        <v>1.1038810601110736</v>
      </c>
      <c r="AF74" s="25">
        <f t="shared" si="16"/>
        <v>0.90879803291980343</v>
      </c>
      <c r="AH74" s="25">
        <f t="shared" si="17"/>
        <v>-2.5212874110988895E-2</v>
      </c>
      <c r="AI74" s="25">
        <f t="shared" si="17"/>
        <v>-2.5688856791008435E-2</v>
      </c>
      <c r="AJ74" s="25">
        <f t="shared" si="17"/>
        <v>-1.5201231558286635E-2</v>
      </c>
      <c r="AK74" s="25">
        <f t="shared" si="17"/>
        <v>-1.6475348669741235E-3</v>
      </c>
      <c r="AL74" s="25">
        <f t="shared" si="18"/>
        <v>-4.116981757470306E-2</v>
      </c>
    </row>
    <row r="75" spans="1:38" x14ac:dyDescent="0.2">
      <c r="A75" s="24">
        <v>43908</v>
      </c>
      <c r="B75" s="25">
        <v>40.617320999999997</v>
      </c>
      <c r="C75" s="25">
        <v>64.051575</v>
      </c>
      <c r="D75" s="25">
        <v>11.350082</v>
      </c>
      <c r="E75" s="25">
        <v>39.758853999999999</v>
      </c>
      <c r="F75" s="25">
        <v>39.084198000000001</v>
      </c>
      <c r="G75" s="25">
        <v>115.757912</v>
      </c>
      <c r="H75" s="25">
        <v>25.029446</v>
      </c>
      <c r="I75" s="25">
        <v>80.676483000000005</v>
      </c>
      <c r="J75" s="25">
        <v>26.222622000000001</v>
      </c>
      <c r="K75" s="25">
        <v>32.829666000000003</v>
      </c>
      <c r="L75" s="25">
        <v>22291.820313</v>
      </c>
      <c r="Z75" s="24">
        <v>43906</v>
      </c>
      <c r="AA75" s="26">
        <v>70</v>
      </c>
      <c r="AB75" s="25">
        <f t="shared" si="12"/>
        <v>0.86751027851702012</v>
      </c>
      <c r="AC75" s="25">
        <f t="shared" si="13"/>
        <v>0.87314576142992295</v>
      </c>
      <c r="AD75" s="25">
        <f t="shared" si="14"/>
        <v>0.9487321892866033</v>
      </c>
      <c r="AE75" s="25">
        <f t="shared" si="15"/>
        <v>1.1020638749245684</v>
      </c>
      <c r="AF75" s="25">
        <f t="shared" si="16"/>
        <v>0.87214270750016176</v>
      </c>
      <c r="AH75" s="25">
        <f t="shared" si="17"/>
        <v>7.636528561210526E-3</v>
      </c>
      <c r="AI75" s="25">
        <f t="shared" si="17"/>
        <v>6.1815804469721736E-3</v>
      </c>
      <c r="AJ75" s="25">
        <f t="shared" si="17"/>
        <v>-1.4564006508761135E-4</v>
      </c>
      <c r="AK75" s="25">
        <f t="shared" si="17"/>
        <v>-1.3983811994790207E-2</v>
      </c>
      <c r="AL75" s="25">
        <f t="shared" si="18"/>
        <v>8.6411855695356365E-3</v>
      </c>
    </row>
    <row r="76" spans="1:38" x14ac:dyDescent="0.2">
      <c r="A76" s="24">
        <v>43909</v>
      </c>
      <c r="B76" s="25">
        <v>37.076534000000002</v>
      </c>
      <c r="C76" s="25">
        <v>59.973232000000003</v>
      </c>
      <c r="D76" s="25">
        <v>11.381308000000001</v>
      </c>
      <c r="E76" s="25">
        <v>39.803477999999998</v>
      </c>
      <c r="F76" s="25">
        <v>35.369267000000001</v>
      </c>
      <c r="G76" s="25">
        <v>112.70935799999999</v>
      </c>
      <c r="H76" s="25">
        <v>23.776014</v>
      </c>
      <c r="I76" s="25">
        <v>77.829086000000004</v>
      </c>
      <c r="J76" s="25">
        <v>25.191752999999999</v>
      </c>
      <c r="K76" s="25">
        <v>29.959826</v>
      </c>
      <c r="L76" s="25">
        <v>21709.130859000001</v>
      </c>
      <c r="Z76" s="24">
        <v>43907</v>
      </c>
      <c r="AA76" s="26">
        <v>71</v>
      </c>
      <c r="AB76" s="25">
        <f t="shared" si="12"/>
        <v>0.87416040515939675</v>
      </c>
      <c r="AC76" s="25">
        <f t="shared" si="13"/>
        <v>0.87855989891897557</v>
      </c>
      <c r="AD76" s="25">
        <f t="shared" si="14"/>
        <v>0.94859402593010922</v>
      </c>
      <c r="AE76" s="25">
        <f t="shared" si="15"/>
        <v>1.0867600730192617</v>
      </c>
      <c r="AF76" s="25">
        <f t="shared" si="16"/>
        <v>0.87971170995808112</v>
      </c>
      <c r="AH76" s="25">
        <f t="shared" si="17"/>
        <v>-3.6191577396870844E-2</v>
      </c>
      <c r="AI76" s="25">
        <f t="shared" si="17"/>
        <v>-3.0855599277502282E-2</v>
      </c>
      <c r="AJ76" s="25">
        <f t="shared" si="17"/>
        <v>-2.0509093291294515E-2</v>
      </c>
      <c r="AK76" s="25">
        <f t="shared" si="17"/>
        <v>5.308001877273455E-3</v>
      </c>
      <c r="AL76" s="25">
        <f t="shared" si="18"/>
        <v>-4.2675706459077034E-2</v>
      </c>
    </row>
    <row r="77" spans="1:38" x14ac:dyDescent="0.2">
      <c r="A77" s="24">
        <v>43910</v>
      </c>
      <c r="B77" s="25">
        <v>40.373131000000001</v>
      </c>
      <c r="C77" s="25">
        <v>59.887374999999999</v>
      </c>
      <c r="D77" s="25">
        <v>10.413351</v>
      </c>
      <c r="E77" s="25">
        <v>41.945374000000001</v>
      </c>
      <c r="F77" s="25">
        <v>34.672713999999999</v>
      </c>
      <c r="G77" s="25">
        <v>116.280518</v>
      </c>
      <c r="H77" s="25">
        <v>23.501826999999999</v>
      </c>
      <c r="I77" s="25">
        <v>79.108345</v>
      </c>
      <c r="J77" s="25">
        <v>25.707186</v>
      </c>
      <c r="K77" s="25">
        <v>30.117514</v>
      </c>
      <c r="L77" s="25">
        <v>22805.070313</v>
      </c>
      <c r="Z77" s="24">
        <v>43908</v>
      </c>
      <c r="AA77" s="26">
        <v>72</v>
      </c>
      <c r="AB77" s="25">
        <f t="shared" si="12"/>
        <v>0.84308881755082055</v>
      </c>
      <c r="AC77" s="25">
        <f t="shared" si="13"/>
        <v>0.85186536257897938</v>
      </c>
      <c r="AD77" s="25">
        <f t="shared" si="14"/>
        <v>0.92933736585370108</v>
      </c>
      <c r="AE77" s="25">
        <f t="shared" si="15"/>
        <v>1.0925439343203538</v>
      </c>
      <c r="AF77" s="25">
        <f t="shared" si="16"/>
        <v>0.84295918884373477</v>
      </c>
      <c r="AH77" s="25">
        <f t="shared" si="17"/>
        <v>-4.5151523100958046E-2</v>
      </c>
      <c r="AI77" s="25">
        <f t="shared" si="17"/>
        <v>-4.6533064755927334E-2</v>
      </c>
      <c r="AJ77" s="25">
        <f t="shared" si="17"/>
        <v>-6.315724875588348E-2</v>
      </c>
      <c r="AK77" s="25">
        <f t="shared" si="17"/>
        <v>-9.7572863399365245E-2</v>
      </c>
      <c r="AL77" s="25">
        <f t="shared" si="18"/>
        <v>-2.6486860113024591E-2</v>
      </c>
    </row>
    <row r="78" spans="1:38" x14ac:dyDescent="0.2">
      <c r="A78" s="24">
        <v>43913</v>
      </c>
      <c r="B78" s="25">
        <v>37.402126000000003</v>
      </c>
      <c r="C78" s="25">
        <v>55.809021000000001</v>
      </c>
      <c r="D78" s="25">
        <v>9.3361059999999991</v>
      </c>
      <c r="E78" s="25">
        <v>39.446494999999999</v>
      </c>
      <c r="F78" s="25">
        <v>32.389586999999999</v>
      </c>
      <c r="G78" s="25">
        <v>108.96399700000001</v>
      </c>
      <c r="H78" s="25">
        <v>22.209225</v>
      </c>
      <c r="I78" s="25">
        <v>75.518135000000001</v>
      </c>
      <c r="J78" s="25">
        <v>24.515246999999999</v>
      </c>
      <c r="K78" s="25">
        <v>28.382994</v>
      </c>
      <c r="L78" s="25">
        <v>21696.130859000001</v>
      </c>
      <c r="Z78" s="24">
        <v>43909</v>
      </c>
      <c r="AA78" s="26">
        <v>73</v>
      </c>
      <c r="AB78" s="25">
        <f t="shared" si="12"/>
        <v>0.80586866956891479</v>
      </c>
      <c r="AC78" s="25">
        <f t="shared" si="13"/>
        <v>0.81313359898649962</v>
      </c>
      <c r="AD78" s="25">
        <f t="shared" si="14"/>
        <v>0.87245805079345995</v>
      </c>
      <c r="AE78" s="25">
        <f t="shared" si="15"/>
        <v>0.99097695249448026</v>
      </c>
      <c r="AF78" s="25">
        <f t="shared" si="16"/>
        <v>0.82092494387876924</v>
      </c>
      <c r="AH78" s="25">
        <f t="shared" si="17"/>
        <v>8.2088057220869315E-3</v>
      </c>
      <c r="AI78" s="25">
        <f t="shared" si="17"/>
        <v>4.8080720169182134E-3</v>
      </c>
      <c r="AJ78" s="25">
        <f t="shared" si="17"/>
        <v>-2.5832037013225562E-2</v>
      </c>
      <c r="AK78" s="25">
        <f t="shared" si="17"/>
        <v>-8.0831927364964584E-2</v>
      </c>
      <c r="AL78" s="25">
        <f t="shared" si="18"/>
        <v>4.9249944429195835E-2</v>
      </c>
    </row>
    <row r="79" spans="1:38" x14ac:dyDescent="0.2">
      <c r="A79" s="24">
        <v>43914</v>
      </c>
      <c r="B79" s="25">
        <v>38.460289000000003</v>
      </c>
      <c r="C79" s="25">
        <v>57.998451000000003</v>
      </c>
      <c r="D79" s="25">
        <v>9.6483509999999999</v>
      </c>
      <c r="E79" s="25">
        <v>40.24971</v>
      </c>
      <c r="F79" s="25">
        <v>34.130955</v>
      </c>
      <c r="G79" s="25">
        <v>113.493279</v>
      </c>
      <c r="H79" s="25">
        <v>22.405073000000002</v>
      </c>
      <c r="I79" s="25">
        <v>79.149619999999999</v>
      </c>
      <c r="J79" s="25">
        <v>25.900475</v>
      </c>
      <c r="K79" s="25">
        <v>30.369807999999999</v>
      </c>
      <c r="L79" s="25">
        <v>22663.490234000001</v>
      </c>
      <c r="Z79" s="24">
        <v>43910</v>
      </c>
      <c r="AA79" s="26">
        <v>74</v>
      </c>
      <c r="AB79" s="25">
        <f t="shared" si="12"/>
        <v>0.81251111488671468</v>
      </c>
      <c r="AC79" s="25">
        <f t="shared" si="13"/>
        <v>0.81705261780231164</v>
      </c>
      <c r="AD79" s="25">
        <f t="shared" si="14"/>
        <v>0.85020928479838287</v>
      </c>
      <c r="AE79" s="25">
        <f t="shared" si="15"/>
        <v>0.91402630385762185</v>
      </c>
      <c r="AF79" s="25">
        <f t="shared" si="16"/>
        <v>0.86236759953425779</v>
      </c>
      <c r="AH79" s="25">
        <f t="shared" si="17"/>
        <v>-6.2084692455748297E-2</v>
      </c>
      <c r="AI79" s="25">
        <f t="shared" si="17"/>
        <v>-6.5390947419068923E-2</v>
      </c>
      <c r="AJ79" s="25">
        <f t="shared" si="17"/>
        <v>-7.6210602998587701E-2</v>
      </c>
      <c r="AK79" s="25">
        <f t="shared" si="17"/>
        <v>-0.10229741836710911</v>
      </c>
      <c r="AL79" s="25">
        <f t="shared" si="18"/>
        <v>-4.9848950166019534E-2</v>
      </c>
    </row>
    <row r="80" spans="1:38" x14ac:dyDescent="0.2">
      <c r="A80" s="24">
        <v>43915</v>
      </c>
      <c r="B80" s="25">
        <v>40.698718999999997</v>
      </c>
      <c r="C80" s="25">
        <v>60.016151000000001</v>
      </c>
      <c r="D80" s="25">
        <v>9.8356980000000007</v>
      </c>
      <c r="E80" s="25">
        <v>41.320656</v>
      </c>
      <c r="F80" s="25">
        <v>35.369267000000001</v>
      </c>
      <c r="G80" s="25">
        <v>117.15155</v>
      </c>
      <c r="H80" s="25">
        <v>23.070962999999999</v>
      </c>
      <c r="I80" s="25">
        <v>82.244620999999995</v>
      </c>
      <c r="J80" s="25">
        <v>26.866911000000002</v>
      </c>
      <c r="K80" s="25">
        <v>32.009715999999997</v>
      </c>
      <c r="L80" s="25">
        <v>23527.189452999999</v>
      </c>
      <c r="Z80" s="24">
        <v>43913</v>
      </c>
      <c r="AA80" s="26">
        <v>75</v>
      </c>
      <c r="AB80" s="25">
        <f t="shared" si="12"/>
        <v>0.763600618259341</v>
      </c>
      <c r="AC80" s="25">
        <f t="shared" si="13"/>
        <v>0.76533416010084776</v>
      </c>
      <c r="AD80" s="25">
        <f t="shared" si="14"/>
        <v>0.78782180901046994</v>
      </c>
      <c r="AE80" s="25">
        <f t="shared" si="15"/>
        <v>0.8251473129207465</v>
      </c>
      <c r="AF80" s="25">
        <f t="shared" si="16"/>
        <v>0.82043335237564829</v>
      </c>
      <c r="AH80" s="25">
        <f t="shared" si="17"/>
        <v>4.2099257414584451E-2</v>
      </c>
      <c r="AI80" s="25">
        <f t="shared" si="17"/>
        <v>4.0630619324450334E-2</v>
      </c>
      <c r="AJ80" s="25">
        <f t="shared" si="17"/>
        <v>4.399972500701721E-2</v>
      </c>
      <c r="AK80" s="25">
        <f t="shared" si="17"/>
        <v>4.8360603900678811E-2</v>
      </c>
      <c r="AL80" s="25">
        <f t="shared" si="18"/>
        <v>4.3621326732379728E-2</v>
      </c>
    </row>
    <row r="81" spans="1:38" x14ac:dyDescent="0.2">
      <c r="A81" s="24">
        <v>43916</v>
      </c>
      <c r="B81" s="25">
        <v>40.820819999999998</v>
      </c>
      <c r="C81" s="25">
        <v>60.144958000000003</v>
      </c>
      <c r="D81" s="25">
        <v>9.6327390000000008</v>
      </c>
      <c r="E81" s="25">
        <v>40.785178999999999</v>
      </c>
      <c r="F81" s="25">
        <v>35.253177999999998</v>
      </c>
      <c r="G81" s="25">
        <v>115.061111</v>
      </c>
      <c r="H81" s="25">
        <v>22.796772000000001</v>
      </c>
      <c r="I81" s="25">
        <v>83.028678999999997</v>
      </c>
      <c r="J81" s="25">
        <v>26.480336999999999</v>
      </c>
      <c r="K81" s="25">
        <v>31.694348999999999</v>
      </c>
      <c r="L81" s="25">
        <v>23352.339843999998</v>
      </c>
      <c r="Z81" s="24">
        <v>43914</v>
      </c>
      <c r="AA81" s="26">
        <v>76</v>
      </c>
      <c r="AB81" s="25">
        <f t="shared" si="12"/>
        <v>0.79643391680168774</v>
      </c>
      <c r="AC81" s="25">
        <f t="shared" si="13"/>
        <v>0.7970705293126934</v>
      </c>
      <c r="AD81" s="25">
        <f t="shared" si="14"/>
        <v>0.82325966282157326</v>
      </c>
      <c r="AE81" s="25">
        <f t="shared" si="15"/>
        <v>0.86603258546413786</v>
      </c>
      <c r="AF81" s="25">
        <f t="shared" si="16"/>
        <v>0.85701378693059749</v>
      </c>
      <c r="AH81" s="25">
        <f t="shared" si="17"/>
        <v>3.518698633549272E-2</v>
      </c>
      <c r="AI81" s="25">
        <f t="shared" si="17"/>
        <v>3.4512171146860282E-2</v>
      </c>
      <c r="AJ81" s="25">
        <f t="shared" si="17"/>
        <v>3.3136313922208255E-2</v>
      </c>
      <c r="AK81" s="25">
        <f t="shared" si="17"/>
        <v>3.0636849253081827E-2</v>
      </c>
      <c r="AL81" s="25">
        <f t="shared" si="18"/>
        <v>3.7401480391116237E-2</v>
      </c>
    </row>
    <row r="82" spans="1:38" x14ac:dyDescent="0.2">
      <c r="A82" s="24">
        <v>43917</v>
      </c>
      <c r="B82" s="25">
        <v>43.059249999999999</v>
      </c>
      <c r="C82" s="25">
        <v>61.261139</v>
      </c>
      <c r="D82" s="25">
        <v>9.7420240000000007</v>
      </c>
      <c r="E82" s="25">
        <v>40.517445000000002</v>
      </c>
      <c r="F82" s="25">
        <v>35.794944999999998</v>
      </c>
      <c r="G82" s="25">
        <v>115.932129</v>
      </c>
      <c r="H82" s="25">
        <v>22.953447000000001</v>
      </c>
      <c r="I82" s="25">
        <v>83.358817999999999</v>
      </c>
      <c r="J82" s="25">
        <v>26.705835</v>
      </c>
      <c r="K82" s="25">
        <v>31.915102000000001</v>
      </c>
      <c r="L82" s="25">
        <v>23484.279297000001</v>
      </c>
      <c r="Z82" s="24">
        <v>43915</v>
      </c>
      <c r="AA82" s="26">
        <v>77</v>
      </c>
      <c r="AB82" s="25">
        <f t="shared" si="12"/>
        <v>0.82495690224344498</v>
      </c>
      <c r="AC82" s="25">
        <f t="shared" si="13"/>
        <v>0.82505936350796316</v>
      </c>
      <c r="AD82" s="25">
        <f t="shared" si="14"/>
        <v>0.85099646320450717</v>
      </c>
      <c r="AE82" s="25">
        <f t="shared" si="15"/>
        <v>0.89297571411280285</v>
      </c>
      <c r="AF82" s="25">
        <f t="shared" si="16"/>
        <v>0.88967434057002448</v>
      </c>
      <c r="AH82" s="25">
        <f t="shared" si="17"/>
        <v>-9.1459477589575788E-3</v>
      </c>
      <c r="AI82" s="25">
        <f t="shared" si="17"/>
        <v>-8.7330337198687769E-3</v>
      </c>
      <c r="AJ82" s="25">
        <f t="shared" si="17"/>
        <v>-5.9017223769391447E-3</v>
      </c>
      <c r="AK82" s="25">
        <f t="shared" si="17"/>
        <v>8.6318304344162877E-4</v>
      </c>
      <c r="AL82" s="25">
        <f t="shared" si="18"/>
        <v>-7.4595637974539386E-3</v>
      </c>
    </row>
    <row r="83" spans="1:38" x14ac:dyDescent="0.2">
      <c r="A83" s="24">
        <v>43920</v>
      </c>
      <c r="B83" s="25">
        <v>41.878982999999998</v>
      </c>
      <c r="C83" s="25">
        <v>60.273735000000002</v>
      </c>
      <c r="D83" s="25">
        <v>9.4610040000000009</v>
      </c>
      <c r="E83" s="25">
        <v>39.714236999999997</v>
      </c>
      <c r="F83" s="25">
        <v>35.291870000000003</v>
      </c>
      <c r="G83" s="25">
        <v>114.102982</v>
      </c>
      <c r="H83" s="25">
        <v>22.561751999999998</v>
      </c>
      <c r="I83" s="25">
        <v>81.708152999999996</v>
      </c>
      <c r="J83" s="25">
        <v>26.254833000000001</v>
      </c>
      <c r="K83" s="25">
        <v>30.685168999999998</v>
      </c>
      <c r="L83" s="25">
        <v>23175.109375</v>
      </c>
      <c r="Z83" s="24">
        <v>43916</v>
      </c>
      <c r="AA83" s="26">
        <v>78</v>
      </c>
      <c r="AB83" s="25">
        <f t="shared" si="12"/>
        <v>0.81744628771035655</v>
      </c>
      <c r="AC83" s="25">
        <f t="shared" si="13"/>
        <v>0.8178854628174661</v>
      </c>
      <c r="AD83" s="25">
        <f t="shared" si="14"/>
        <v>0.84598890946544758</v>
      </c>
      <c r="AE83" s="25">
        <f t="shared" si="15"/>
        <v>0.89374684837455964</v>
      </c>
      <c r="AF83" s="25">
        <f t="shared" si="16"/>
        <v>0.88306244963860825</v>
      </c>
      <c r="AH83" s="25">
        <f t="shared" si="17"/>
        <v>1.116810339262142E-2</v>
      </c>
      <c r="AI83" s="25">
        <f t="shared" si="17"/>
        <v>1.175945433407613E-2</v>
      </c>
      <c r="AJ83" s="25">
        <f t="shared" si="17"/>
        <v>1.7704231408577714E-2</v>
      </c>
      <c r="AK83" s="25">
        <f t="shared" si="17"/>
        <v>3.1135587846034235E-2</v>
      </c>
      <c r="AL83" s="25">
        <f t="shared" si="18"/>
        <v>5.6340446610594341E-3</v>
      </c>
    </row>
    <row r="84" spans="1:38" x14ac:dyDescent="0.2">
      <c r="A84" s="24">
        <v>43921</v>
      </c>
      <c r="B84" s="25">
        <v>42.570866000000002</v>
      </c>
      <c r="C84" s="25">
        <v>61.389918999999999</v>
      </c>
      <c r="D84" s="25">
        <v>9.9762079999999997</v>
      </c>
      <c r="E84" s="25">
        <v>39.401878000000004</v>
      </c>
      <c r="F84" s="25">
        <v>35.872329999999998</v>
      </c>
      <c r="G84" s="25">
        <v>115.409531</v>
      </c>
      <c r="H84" s="25">
        <v>23.149298000000002</v>
      </c>
      <c r="I84" s="25">
        <v>84.349227999999997</v>
      </c>
      <c r="J84" s="25">
        <v>26.866911000000002</v>
      </c>
      <c r="K84" s="25">
        <v>31.505129</v>
      </c>
      <c r="L84" s="25">
        <v>23603.480468999998</v>
      </c>
      <c r="Z84" s="24">
        <v>43917</v>
      </c>
      <c r="AA84" s="26">
        <v>79</v>
      </c>
      <c r="AB84" s="25">
        <f t="shared" si="12"/>
        <v>0.82662678129948974</v>
      </c>
      <c r="AC84" s="25">
        <f t="shared" si="13"/>
        <v>0.8275601224390684</v>
      </c>
      <c r="AD84" s="25">
        <f t="shared" si="14"/>
        <v>0.86109986209299405</v>
      </c>
      <c r="AE84" s="25">
        <f t="shared" si="15"/>
        <v>0.92201192337855298</v>
      </c>
      <c r="AF84" s="25">
        <f t="shared" si="16"/>
        <v>0.8880517045633175</v>
      </c>
      <c r="AH84" s="25">
        <f t="shared" si="17"/>
        <v>-1.9859248652740413E-2</v>
      </c>
      <c r="AI84" s="25">
        <f t="shared" si="17"/>
        <v>-1.9967438197126042E-2</v>
      </c>
      <c r="AJ84" s="25">
        <f t="shared" si="17"/>
        <v>-1.8525098745359958E-2</v>
      </c>
      <c r="AK84" s="25">
        <f t="shared" si="17"/>
        <v>-1.6356894135593381E-2</v>
      </c>
      <c r="AL84" s="25">
        <f t="shared" si="18"/>
        <v>-1.3252400241222873E-2</v>
      </c>
    </row>
    <row r="85" spans="1:38" x14ac:dyDescent="0.2">
      <c r="A85" s="24">
        <v>43922</v>
      </c>
      <c r="B85" s="25">
        <v>42.367370999999999</v>
      </c>
      <c r="C85" s="25">
        <v>60.402538</v>
      </c>
      <c r="D85" s="25">
        <v>10.054268</v>
      </c>
      <c r="E85" s="25">
        <v>35.653564000000003</v>
      </c>
      <c r="F85" s="25">
        <v>35.524054999999997</v>
      </c>
      <c r="G85" s="25">
        <v>110.88024900000001</v>
      </c>
      <c r="H85" s="25">
        <v>23.149298000000002</v>
      </c>
      <c r="I85" s="25">
        <v>84.514290000000003</v>
      </c>
      <c r="J85" s="25">
        <v>26.995766</v>
      </c>
      <c r="K85" s="25">
        <v>30.874389999999998</v>
      </c>
      <c r="L85" s="25">
        <v>23085.789063</v>
      </c>
      <c r="Z85" s="24">
        <v>43920</v>
      </c>
      <c r="AA85" s="26">
        <v>80</v>
      </c>
      <c r="AB85" s="25">
        <f t="shared" si="12"/>
        <v>0.8103725273478547</v>
      </c>
      <c r="AC85" s="25">
        <f t="shared" si="13"/>
        <v>0.81119974779258874</v>
      </c>
      <c r="AD85" s="25">
        <f t="shared" si="14"/>
        <v>0.8452947497478851</v>
      </c>
      <c r="AE85" s="25">
        <f t="shared" si="15"/>
        <v>0.90705334342049915</v>
      </c>
      <c r="AF85" s="25">
        <f t="shared" si="16"/>
        <v>0.8763605271267213</v>
      </c>
      <c r="AH85" s="25">
        <f t="shared" si="17"/>
        <v>2.2140896667050658E-2</v>
      </c>
      <c r="AI85" s="25">
        <f t="shared" si="17"/>
        <v>2.1361246415478596E-2</v>
      </c>
      <c r="AJ85" s="25">
        <f t="shared" si="17"/>
        <v>2.7546935193481059E-2</v>
      </c>
      <c r="AK85" s="25">
        <f t="shared" si="17"/>
        <v>3.5408743956063471E-2</v>
      </c>
      <c r="AL85" s="25">
        <f t="shared" si="18"/>
        <v>1.8315347691695294E-2</v>
      </c>
    </row>
    <row r="86" spans="1:38" x14ac:dyDescent="0.2">
      <c r="A86" s="24">
        <v>43923</v>
      </c>
      <c r="B86" s="25">
        <v>42.692962999999999</v>
      </c>
      <c r="C86" s="25">
        <v>61.819217999999999</v>
      </c>
      <c r="D86" s="25">
        <v>10.101106</v>
      </c>
      <c r="E86" s="25">
        <v>34.716492000000002</v>
      </c>
      <c r="F86" s="25">
        <v>35.562756</v>
      </c>
      <c r="G86" s="25">
        <v>114.102982</v>
      </c>
      <c r="H86" s="25">
        <v>23.266805999999999</v>
      </c>
      <c r="I86" s="25">
        <v>84.761887000000002</v>
      </c>
      <c r="J86" s="25">
        <v>27.253485000000001</v>
      </c>
      <c r="K86" s="25">
        <v>30.495953</v>
      </c>
      <c r="L86" s="25">
        <v>23280.060547000001</v>
      </c>
      <c r="Z86" s="24">
        <v>43921</v>
      </c>
      <c r="AA86" s="26">
        <v>81</v>
      </c>
      <c r="AB86" s="25">
        <f t="shared" si="12"/>
        <v>0.82851500596648664</v>
      </c>
      <c r="AC86" s="25">
        <f t="shared" si="13"/>
        <v>0.82871438676358977</v>
      </c>
      <c r="AD86" s="25">
        <f t="shared" si="14"/>
        <v>0.86890371381941722</v>
      </c>
      <c r="AE86" s="25">
        <f t="shared" si="15"/>
        <v>0.93974635653054739</v>
      </c>
      <c r="AF86" s="25">
        <f t="shared" si="16"/>
        <v>0.89255926481849068</v>
      </c>
      <c r="AH86" s="25">
        <f t="shared" si="17"/>
        <v>-1.1084534924389183E-2</v>
      </c>
      <c r="AI86" s="25">
        <f t="shared" si="17"/>
        <v>-1.4569398460396399E-2</v>
      </c>
      <c r="AJ86" s="25">
        <f t="shared" si="17"/>
        <v>2.6989342499034175E-4</v>
      </c>
      <c r="AK86" s="25">
        <f t="shared" si="17"/>
        <v>1.808739402828323E-2</v>
      </c>
      <c r="AL86" s="25">
        <f t="shared" si="18"/>
        <v>-2.2176942516292542E-2</v>
      </c>
    </row>
    <row r="87" spans="1:38" x14ac:dyDescent="0.2">
      <c r="A87" s="24">
        <v>43924</v>
      </c>
      <c r="B87" s="25">
        <v>42.733662000000002</v>
      </c>
      <c r="C87" s="25">
        <v>64.395026999999999</v>
      </c>
      <c r="D87" s="25">
        <v>10.194779</v>
      </c>
      <c r="E87" s="25">
        <v>33.824038999999999</v>
      </c>
      <c r="F87" s="25">
        <v>36.568882000000002</v>
      </c>
      <c r="G87" s="25">
        <v>116.890244</v>
      </c>
      <c r="H87" s="25">
        <v>23.540997000000001</v>
      </c>
      <c r="I87" s="25">
        <v>84.431754999999995</v>
      </c>
      <c r="J87" s="25">
        <v>27.285698</v>
      </c>
      <c r="K87" s="25">
        <v>30.338267999999999</v>
      </c>
      <c r="L87" s="25">
        <v>23236.109375</v>
      </c>
      <c r="Z87" s="24">
        <v>43922</v>
      </c>
      <c r="AA87" s="26">
        <v>82</v>
      </c>
      <c r="AB87" s="25">
        <f t="shared" si="12"/>
        <v>0.81938201344643968</v>
      </c>
      <c r="AC87" s="25">
        <f t="shared" si="13"/>
        <v>0.81672804556845657</v>
      </c>
      <c r="AD87" s="25">
        <f t="shared" si="14"/>
        <v>0.86913825686811641</v>
      </c>
      <c r="AE87" s="25">
        <f t="shared" si="15"/>
        <v>0.95689857098322972</v>
      </c>
      <c r="AF87" s="25">
        <f t="shared" si="16"/>
        <v>0.87298290355477459</v>
      </c>
      <c r="AH87" s="25">
        <f t="shared" si="17"/>
        <v>6.6600336651377323E-3</v>
      </c>
      <c r="AI87" s="25">
        <f t="shared" si="17"/>
        <v>5.8805584244550346E-3</v>
      </c>
      <c r="AJ87" s="25">
        <f t="shared" si="17"/>
        <v>1.0784861661916029E-2</v>
      </c>
      <c r="AK87" s="25">
        <f t="shared" si="17"/>
        <v>1.6107602677073628E-2</v>
      </c>
      <c r="AL87" s="25">
        <f t="shared" si="18"/>
        <v>8.3799875344716668E-3</v>
      </c>
    </row>
    <row r="88" spans="1:38" x14ac:dyDescent="0.2">
      <c r="A88" s="24">
        <v>43927</v>
      </c>
      <c r="B88" s="25">
        <v>45.419769000000002</v>
      </c>
      <c r="C88" s="25">
        <v>67.056685999999999</v>
      </c>
      <c r="D88" s="25">
        <v>10.678756999999999</v>
      </c>
      <c r="E88" s="25">
        <v>34.761105000000001</v>
      </c>
      <c r="F88" s="25">
        <v>38.116771999999997</v>
      </c>
      <c r="G88" s="25">
        <v>120.896896</v>
      </c>
      <c r="H88" s="25">
        <v>24.4419</v>
      </c>
      <c r="I88" s="25">
        <v>87.320426999999995</v>
      </c>
      <c r="J88" s="25">
        <v>28.187704</v>
      </c>
      <c r="K88" s="25">
        <v>32.577373999999999</v>
      </c>
      <c r="L88" s="25">
        <v>23749.119140999999</v>
      </c>
      <c r="Z88" s="24">
        <v>43923</v>
      </c>
      <c r="AA88" s="26">
        <v>83</v>
      </c>
      <c r="AB88" s="25">
        <f t="shared" si="12"/>
        <v>0.82485733792464599</v>
      </c>
      <c r="AC88" s="25">
        <f t="shared" si="13"/>
        <v>0.82154501190201779</v>
      </c>
      <c r="AD88" s="25">
        <f t="shared" si="14"/>
        <v>0.8785625210793605</v>
      </c>
      <c r="AE88" s="25">
        <f t="shared" si="15"/>
        <v>0.9724367181649215</v>
      </c>
      <c r="AF88" s="25">
        <f t="shared" si="16"/>
        <v>0.88032922746501208</v>
      </c>
      <c r="AH88" s="25">
        <f t="shared" si="17"/>
        <v>7.8351216210477137E-3</v>
      </c>
      <c r="AI88" s="25">
        <f t="shared" si="17"/>
        <v>9.6791273376525266E-3</v>
      </c>
      <c r="AJ88" s="25">
        <f t="shared" si="17"/>
        <v>2.4738343311650576E-2</v>
      </c>
      <c r="AK88" s="25">
        <f t="shared" si="17"/>
        <v>5.273138684578791E-2</v>
      </c>
      <c r="AL88" s="25">
        <f t="shared" si="18"/>
        <v>-1.8897164213189654E-3</v>
      </c>
    </row>
    <row r="89" spans="1:38" x14ac:dyDescent="0.2">
      <c r="A89" s="24">
        <v>43928</v>
      </c>
      <c r="B89" s="25">
        <v>46.884926</v>
      </c>
      <c r="C89" s="25">
        <v>68.516304000000005</v>
      </c>
      <c r="D89" s="25">
        <v>10.834880999999999</v>
      </c>
      <c r="E89" s="25">
        <v>35.832058000000004</v>
      </c>
      <c r="F89" s="25">
        <v>39.006808999999997</v>
      </c>
      <c r="G89" s="25">
        <v>119.677475</v>
      </c>
      <c r="H89" s="25">
        <v>24.911936000000001</v>
      </c>
      <c r="I89" s="25">
        <v>88.971100000000007</v>
      </c>
      <c r="J89" s="25">
        <v>28.63871</v>
      </c>
      <c r="K89" s="25">
        <v>33.228915999999998</v>
      </c>
      <c r="L89" s="25">
        <v>24253.289063</v>
      </c>
      <c r="Z89" s="24">
        <v>43924</v>
      </c>
      <c r="AA89" s="26">
        <v>84</v>
      </c>
      <c r="AB89" s="25">
        <f t="shared" si="12"/>
        <v>0.83134558037940609</v>
      </c>
      <c r="AC89" s="25">
        <f t="shared" si="13"/>
        <v>0.8295354585789434</v>
      </c>
      <c r="AD89" s="25">
        <f t="shared" si="14"/>
        <v>0.90056776677821615</v>
      </c>
      <c r="AE89" s="25">
        <f t="shared" si="15"/>
        <v>1.0250907138006715</v>
      </c>
      <c r="AF89" s="25">
        <f t="shared" si="16"/>
        <v>0.87866722571828859</v>
      </c>
      <c r="AH89" s="25">
        <f t="shared" si="17"/>
        <v>3.9019000634150341E-2</v>
      </c>
      <c r="AI89" s="25">
        <f t="shared" si="17"/>
        <v>3.9818913841499687E-2</v>
      </c>
      <c r="AJ89" s="25">
        <f t="shared" si="17"/>
        <v>4.2367858534334828E-2</v>
      </c>
      <c r="AK89" s="25">
        <f t="shared" si="17"/>
        <v>4.9064845898755607E-2</v>
      </c>
      <c r="AL89" s="25">
        <f t="shared" si="18"/>
        <v>2.1837933738156678E-2</v>
      </c>
    </row>
    <row r="90" spans="1:38" x14ac:dyDescent="0.2">
      <c r="A90" s="24">
        <v>43929</v>
      </c>
      <c r="B90" s="25">
        <v>45.908164999999997</v>
      </c>
      <c r="C90" s="25">
        <v>67.528914999999998</v>
      </c>
      <c r="D90" s="25">
        <v>10.756819</v>
      </c>
      <c r="E90" s="25">
        <v>35.608944000000001</v>
      </c>
      <c r="F90" s="25">
        <v>38.503746</v>
      </c>
      <c r="G90" s="25">
        <v>119.329086</v>
      </c>
      <c r="H90" s="25">
        <v>24.911936000000001</v>
      </c>
      <c r="I90" s="25">
        <v>87.815635999999998</v>
      </c>
      <c r="J90" s="25">
        <v>28.413204</v>
      </c>
      <c r="K90" s="25">
        <v>32.577370000000002</v>
      </c>
      <c r="L90" s="25">
        <v>23970.369140999999</v>
      </c>
      <c r="Z90" s="24">
        <v>43927</v>
      </c>
      <c r="AA90" s="26">
        <v>85</v>
      </c>
      <c r="AB90" s="25">
        <f t="shared" si="12"/>
        <v>0.86442502065904603</v>
      </c>
      <c r="AC90" s="25">
        <f t="shared" si="13"/>
        <v>0.86323310914145379</v>
      </c>
      <c r="AD90" s="25">
        <f t="shared" si="14"/>
        <v>0.9395427069554132</v>
      </c>
      <c r="AE90" s="25">
        <f t="shared" si="15"/>
        <v>1.0766409424740553</v>
      </c>
      <c r="AF90" s="25">
        <f t="shared" si="16"/>
        <v>0.8980665520247223</v>
      </c>
      <c r="AH90" s="25">
        <f t="shared" si="17"/>
        <v>1.748786092687904E-2</v>
      </c>
      <c r="AI90" s="25">
        <f t="shared" si="17"/>
        <v>1.8234170474792005E-2</v>
      </c>
      <c r="AJ90" s="25">
        <f t="shared" si="17"/>
        <v>1.9771826074638246E-2</v>
      </c>
      <c r="AK90" s="25">
        <f t="shared" si="17"/>
        <v>2.4920807698854588E-2</v>
      </c>
      <c r="AL90" s="25">
        <f t="shared" si="18"/>
        <v>2.1006798657449366E-2</v>
      </c>
    </row>
    <row r="91" spans="1:38" x14ac:dyDescent="0.2">
      <c r="A91" s="24">
        <v>43930</v>
      </c>
      <c r="B91" s="25">
        <v>47.047722</v>
      </c>
      <c r="C91" s="25">
        <v>68.430428000000006</v>
      </c>
      <c r="D91" s="25">
        <v>10.991002999999999</v>
      </c>
      <c r="E91" s="25">
        <v>36.590645000000002</v>
      </c>
      <c r="F91" s="25">
        <v>39.084198000000001</v>
      </c>
      <c r="G91" s="25">
        <v>120.113007</v>
      </c>
      <c r="H91" s="25">
        <v>25.264462000000002</v>
      </c>
      <c r="I91" s="25">
        <v>89.301224000000005</v>
      </c>
      <c r="J91" s="25">
        <v>28.831994999999999</v>
      </c>
      <c r="K91" s="25">
        <v>33.685001</v>
      </c>
      <c r="L91" s="25">
        <v>24300.330077999999</v>
      </c>
      <c r="Z91" s="24">
        <v>43928</v>
      </c>
      <c r="AA91" s="26">
        <v>86</v>
      </c>
      <c r="AB91" s="25">
        <f t="shared" si="12"/>
        <v>0.87967492061843611</v>
      </c>
      <c r="AC91" s="25">
        <f t="shared" si="13"/>
        <v>0.87911783105988728</v>
      </c>
      <c r="AD91" s="25">
        <f t="shared" si="14"/>
        <v>0.95830404370478373</v>
      </c>
      <c r="AE91" s="25">
        <f t="shared" si="15"/>
        <v>1.1038088210724393</v>
      </c>
      <c r="AF91" s="25">
        <f t="shared" si="16"/>
        <v>0.91713160200813182</v>
      </c>
      <c r="AH91" s="25">
        <f t="shared" si="17"/>
        <v>-9.6397052934678873E-3</v>
      </c>
      <c r="AI91" s="25">
        <f t="shared" si="17"/>
        <v>-1.0017091074000617E-2</v>
      </c>
      <c r="AJ91" s="25">
        <f t="shared" si="17"/>
        <v>-1.1913446314086577E-2</v>
      </c>
      <c r="AK91" s="25">
        <f t="shared" si="17"/>
        <v>-1.6467199973874677E-2</v>
      </c>
      <c r="AL91" s="25">
        <f t="shared" si="18"/>
        <v>-1.1733791197425347E-2</v>
      </c>
    </row>
    <row r="92" spans="1:38" x14ac:dyDescent="0.2">
      <c r="A92" s="24">
        <v>43935</v>
      </c>
      <c r="B92" s="25">
        <v>47.169823000000001</v>
      </c>
      <c r="C92" s="25">
        <v>69.804198999999997</v>
      </c>
      <c r="D92" s="25">
        <v>11.272021000000001</v>
      </c>
      <c r="E92" s="25">
        <v>36.992249000000001</v>
      </c>
      <c r="F92" s="25">
        <v>40.283816999999999</v>
      </c>
      <c r="G92" s="25">
        <v>120.896896</v>
      </c>
      <c r="H92" s="25">
        <v>25.225294000000002</v>
      </c>
      <c r="I92" s="25">
        <v>89.136161999999999</v>
      </c>
      <c r="J92" s="25">
        <v>28.896426999999999</v>
      </c>
      <c r="K92" s="25">
        <v>33.424380999999997</v>
      </c>
      <c r="L92" s="25">
        <v>24435.400390999999</v>
      </c>
      <c r="Z92" s="24">
        <v>43929</v>
      </c>
      <c r="AA92" s="26">
        <v>87</v>
      </c>
      <c r="AB92" s="25">
        <f t="shared" si="12"/>
        <v>0.87123585403618187</v>
      </c>
      <c r="AC92" s="25">
        <f t="shared" si="13"/>
        <v>0.87035558704790728</v>
      </c>
      <c r="AD92" s="25">
        <f t="shared" si="14"/>
        <v>0.9469550768112186</v>
      </c>
      <c r="AE92" s="25">
        <f t="shared" si="15"/>
        <v>1.085781021552175</v>
      </c>
      <c r="AF92" s="25">
        <f t="shared" si="16"/>
        <v>0.9064330612605298</v>
      </c>
      <c r="AH92" s="25">
        <f t="shared" si="17"/>
        <v>1.6941474072912827E-2</v>
      </c>
      <c r="AI92" s="25">
        <f t="shared" si="17"/>
        <v>1.7309068809515535E-2</v>
      </c>
      <c r="AJ92" s="25">
        <f t="shared" si="17"/>
        <v>1.5522236144034682E-2</v>
      </c>
      <c r="AK92" s="25">
        <f t="shared" si="17"/>
        <v>1.3967659768694671E-2</v>
      </c>
      <c r="AL92" s="25">
        <f t="shared" si="18"/>
        <v>1.367148525817008E-2</v>
      </c>
    </row>
    <row r="93" spans="1:38" x14ac:dyDescent="0.2">
      <c r="A93" s="24">
        <v>43936</v>
      </c>
      <c r="B93" s="25">
        <v>46.762836</v>
      </c>
      <c r="C93" s="25">
        <v>70.576935000000006</v>
      </c>
      <c r="D93" s="25">
        <v>11.256409</v>
      </c>
      <c r="E93" s="25">
        <v>36.233654000000001</v>
      </c>
      <c r="F93" s="25">
        <v>40.129024999999999</v>
      </c>
      <c r="G93" s="25">
        <v>119.416191</v>
      </c>
      <c r="H93" s="25">
        <v>25.029446</v>
      </c>
      <c r="I93" s="25">
        <v>88.640961000000004</v>
      </c>
      <c r="J93" s="25">
        <v>28.703135</v>
      </c>
      <c r="K93" s="25">
        <v>32.968299999999999</v>
      </c>
      <c r="L93" s="25">
        <v>24145.339843999998</v>
      </c>
      <c r="Z93" s="24">
        <v>43930</v>
      </c>
      <c r="AA93" s="26">
        <v>88</v>
      </c>
      <c r="AB93" s="25">
        <f t="shared" si="12"/>
        <v>0.88612161096850595</v>
      </c>
      <c r="AC93" s="25">
        <f t="shared" si="13"/>
        <v>0.88555176826504189</v>
      </c>
      <c r="AD93" s="25">
        <f t="shared" si="14"/>
        <v>0.96176860927617924</v>
      </c>
      <c r="AE93" s="25">
        <f t="shared" si="15"/>
        <v>1.1010532518080829</v>
      </c>
      <c r="AF93" s="25">
        <f t="shared" si="16"/>
        <v>0.91891044533676125</v>
      </c>
      <c r="AH93" s="25">
        <f t="shared" si="17"/>
        <v>8.0702068291834128E-3</v>
      </c>
      <c r="AI93" s="25">
        <f t="shared" si="17"/>
        <v>1.0758665535513481E-2</v>
      </c>
      <c r="AJ93" s="25">
        <f t="shared" si="17"/>
        <v>2.1858206298688822E-2</v>
      </c>
      <c r="AK93" s="25">
        <f t="shared" si="17"/>
        <v>4.4789951885532281E-2</v>
      </c>
      <c r="AL93" s="25">
        <f t="shared" si="18"/>
        <v>5.5429828395894276E-3</v>
      </c>
    </row>
    <row r="94" spans="1:38" x14ac:dyDescent="0.2">
      <c r="A94" s="24">
        <v>43937</v>
      </c>
      <c r="B94" s="25">
        <v>46.315143999999997</v>
      </c>
      <c r="C94" s="25">
        <v>69.675430000000006</v>
      </c>
      <c r="D94" s="25">
        <v>11.209573000000001</v>
      </c>
      <c r="E94" s="25">
        <v>35.43045</v>
      </c>
      <c r="F94" s="25">
        <v>39.664661000000002</v>
      </c>
      <c r="G94" s="25">
        <v>118.28388200000001</v>
      </c>
      <c r="H94" s="25">
        <v>25.029446</v>
      </c>
      <c r="I94" s="25">
        <v>88.640961000000004</v>
      </c>
      <c r="J94" s="25">
        <v>28.50985</v>
      </c>
      <c r="K94" s="25">
        <v>32.512217999999997</v>
      </c>
      <c r="L94" s="25">
        <v>24006.449218999998</v>
      </c>
      <c r="Z94" s="24">
        <v>43935</v>
      </c>
      <c r="AA94" s="26">
        <v>89</v>
      </c>
      <c r="AB94" s="25">
        <f t="shared" si="12"/>
        <v>0.89330172919541029</v>
      </c>
      <c r="AC94" s="25">
        <f t="shared" si="13"/>
        <v>0.89513055866089319</v>
      </c>
      <c r="AD94" s="25">
        <f t="shared" si="14"/>
        <v>0.98302258663779518</v>
      </c>
      <c r="AE94" s="25">
        <f t="shared" si="15"/>
        <v>1.1514904828258177</v>
      </c>
      <c r="AF94" s="25">
        <f t="shared" si="16"/>
        <v>0.9240180928901981</v>
      </c>
      <c r="AH94" s="25">
        <f t="shared" si="17"/>
        <v>-6.0578814678831083E-3</v>
      </c>
      <c r="AI94" s="25">
        <f t="shared" si="17"/>
        <v>-5.6672551534793086E-3</v>
      </c>
      <c r="AJ94" s="25">
        <f t="shared" si="17"/>
        <v>6.9384443266226267E-4</v>
      </c>
      <c r="AK94" s="25">
        <f t="shared" si="17"/>
        <v>1.0653315895866017E-2</v>
      </c>
      <c r="AL94" s="25">
        <f t="shared" si="18"/>
        <v>-1.1941522194749865E-2</v>
      </c>
    </row>
    <row r="95" spans="1:38" x14ac:dyDescent="0.2">
      <c r="A95" s="24">
        <v>43938</v>
      </c>
      <c r="B95" s="25">
        <v>47.291912000000004</v>
      </c>
      <c r="C95" s="25">
        <v>69.975921999999997</v>
      </c>
      <c r="D95" s="25">
        <v>11.225184</v>
      </c>
      <c r="E95" s="25">
        <v>35.251961000000001</v>
      </c>
      <c r="F95" s="25">
        <v>39.703358000000001</v>
      </c>
      <c r="G95" s="25">
        <v>119.329086</v>
      </c>
      <c r="H95" s="25">
        <v>25.264462000000002</v>
      </c>
      <c r="I95" s="25">
        <v>89.878967000000003</v>
      </c>
      <c r="J95" s="25">
        <v>29.057497000000001</v>
      </c>
      <c r="K95" s="25">
        <v>34.173659999999998</v>
      </c>
      <c r="L95" s="25">
        <v>24380</v>
      </c>
      <c r="Z95" s="24">
        <v>43936</v>
      </c>
      <c r="AA95" s="26">
        <v>90</v>
      </c>
      <c r="AB95" s="25">
        <f t="shared" si="12"/>
        <v>0.88790657131760109</v>
      </c>
      <c r="AC95" s="25">
        <f t="shared" si="13"/>
        <v>0.89007197307610253</v>
      </c>
      <c r="AD95" s="25">
        <f t="shared" si="14"/>
        <v>0.98370488806486556</v>
      </c>
      <c r="AE95" s="25">
        <f t="shared" si="15"/>
        <v>1.1638232504851609</v>
      </c>
      <c r="AF95" s="25">
        <f t="shared" si="16"/>
        <v>0.91304953132898281</v>
      </c>
      <c r="AH95" s="25">
        <f t="shared" si="17"/>
        <v>-8.0414882212088701E-3</v>
      </c>
      <c r="AI95" s="25">
        <f t="shared" si="17"/>
        <v>-8.8804123479881564E-3</v>
      </c>
      <c r="AJ95" s="25">
        <f t="shared" si="17"/>
        <v>-8.5240030877292948E-3</v>
      </c>
      <c r="AK95" s="25">
        <f t="shared" si="17"/>
        <v>-1.0086732957338002E-2</v>
      </c>
      <c r="AL95" s="25">
        <f t="shared" si="18"/>
        <v>-5.7688826476685051E-3</v>
      </c>
    </row>
    <row r="96" spans="1:38" x14ac:dyDescent="0.2">
      <c r="A96" s="24">
        <v>43941</v>
      </c>
      <c r="B96" s="25">
        <v>46.518645999999997</v>
      </c>
      <c r="C96" s="25">
        <v>69.675430000000006</v>
      </c>
      <c r="D96" s="25">
        <v>10.991002999999999</v>
      </c>
      <c r="E96" s="25">
        <v>35.742804999999997</v>
      </c>
      <c r="F96" s="25">
        <v>39.742054000000003</v>
      </c>
      <c r="G96" s="25">
        <v>119.50329600000001</v>
      </c>
      <c r="H96" s="25">
        <v>24.990273999999999</v>
      </c>
      <c r="I96" s="25">
        <v>87.237892000000002</v>
      </c>
      <c r="J96" s="25">
        <v>29.025279999999999</v>
      </c>
      <c r="K96" s="25">
        <v>34.010773</v>
      </c>
      <c r="L96" s="25">
        <v>24330.019531000002</v>
      </c>
      <c r="Z96" s="24">
        <v>43937</v>
      </c>
      <c r="AA96" s="26">
        <v>91</v>
      </c>
      <c r="AB96" s="25">
        <f t="shared" si="12"/>
        <v>0.88079511276007638</v>
      </c>
      <c r="AC96" s="25">
        <f t="shared" si="13"/>
        <v>0.88220275958105476</v>
      </c>
      <c r="AD96" s="25">
        <f t="shared" si="14"/>
        <v>0.9753554205599928</v>
      </c>
      <c r="AE96" s="25">
        <f t="shared" si="15"/>
        <v>1.1521430825457397</v>
      </c>
      <c r="AF96" s="25">
        <f t="shared" si="16"/>
        <v>0.90779741970489436</v>
      </c>
      <c r="AH96" s="25">
        <f t="shared" si="17"/>
        <v>1.2534844300209458E-2</v>
      </c>
      <c r="AI96" s="25">
        <f t="shared" si="17"/>
        <v>1.0449299901475154E-2</v>
      </c>
      <c r="AJ96" s="25">
        <f t="shared" si="17"/>
        <v>5.03882331977119E-3</v>
      </c>
      <c r="AK96" s="25">
        <f t="shared" si="17"/>
        <v>-6.5148036726161151E-3</v>
      </c>
      <c r="AL96" s="25">
        <f t="shared" si="18"/>
        <v>1.5440612344916005E-2</v>
      </c>
    </row>
    <row r="97" spans="1:38" x14ac:dyDescent="0.2">
      <c r="A97" s="24">
        <v>43942</v>
      </c>
      <c r="B97" s="25">
        <v>45.256981000000003</v>
      </c>
      <c r="C97" s="25">
        <v>69.718338000000003</v>
      </c>
      <c r="D97" s="25">
        <v>10.741206</v>
      </c>
      <c r="E97" s="25">
        <v>34.939597999999997</v>
      </c>
      <c r="F97" s="25">
        <v>39.084198000000001</v>
      </c>
      <c r="G97" s="25">
        <v>116.716042</v>
      </c>
      <c r="H97" s="25">
        <v>24.520239</v>
      </c>
      <c r="I97" s="25">
        <v>85.669762000000006</v>
      </c>
      <c r="J97" s="25">
        <v>28.348777999999999</v>
      </c>
      <c r="K97" s="25">
        <v>32.479641000000001</v>
      </c>
      <c r="L97" s="25">
        <v>23793.550781000002</v>
      </c>
      <c r="Z97" s="24">
        <v>43938</v>
      </c>
      <c r="AA97" s="26">
        <v>92</v>
      </c>
      <c r="AB97" s="25">
        <f t="shared" si="12"/>
        <v>0.89190522867526689</v>
      </c>
      <c r="AC97" s="25">
        <f t="shared" si="13"/>
        <v>0.89146949190466185</v>
      </c>
      <c r="AD97" s="25">
        <f t="shared" si="14"/>
        <v>0.98028246703180744</v>
      </c>
      <c r="AE97" s="25">
        <f t="shared" si="15"/>
        <v>1.1446614935634114</v>
      </c>
      <c r="AF97" s="25">
        <f t="shared" si="16"/>
        <v>0.92192314200672321</v>
      </c>
      <c r="AH97" s="25">
        <f t="shared" si="17"/>
        <v>-6.4527034561833729E-3</v>
      </c>
      <c r="AI97" s="25">
        <f t="shared" si="17"/>
        <v>-6.0473058221384018E-3</v>
      </c>
      <c r="AJ97" s="25">
        <f t="shared" si="17"/>
        <v>-8.0238188576606216E-3</v>
      </c>
      <c r="AK97" s="25">
        <f t="shared" si="17"/>
        <v>-9.5316626816638328E-3</v>
      </c>
      <c r="AL97" s="25">
        <f t="shared" si="18"/>
        <v>-2.0521645042137493E-3</v>
      </c>
    </row>
    <row r="98" spans="1:38" x14ac:dyDescent="0.2">
      <c r="A98" s="24">
        <v>43943</v>
      </c>
      <c r="B98" s="25">
        <v>45.948855999999999</v>
      </c>
      <c r="C98" s="25">
        <v>70.233513000000002</v>
      </c>
      <c r="D98" s="25">
        <v>10.678756999999999</v>
      </c>
      <c r="E98" s="25">
        <v>34.671871000000003</v>
      </c>
      <c r="F98" s="25">
        <v>39.664661000000002</v>
      </c>
      <c r="G98" s="25">
        <v>116.454742</v>
      </c>
      <c r="H98" s="25">
        <v>24.285219000000001</v>
      </c>
      <c r="I98" s="25">
        <v>84.761887000000002</v>
      </c>
      <c r="J98" s="25">
        <v>28.187704</v>
      </c>
      <c r="K98" s="25">
        <v>32.251598000000001</v>
      </c>
      <c r="L98" s="25">
        <v>23893.359375</v>
      </c>
      <c r="Z98" s="24">
        <v>43941</v>
      </c>
      <c r="AA98" s="26">
        <v>93</v>
      </c>
      <c r="AB98" s="25">
        <f t="shared" si="12"/>
        <v>0.88616855714868403</v>
      </c>
      <c r="AC98" s="25">
        <f t="shared" si="13"/>
        <v>0.88609477092615174</v>
      </c>
      <c r="AD98" s="25">
        <f t="shared" si="14"/>
        <v>0.97244832996655228</v>
      </c>
      <c r="AE98" s="25">
        <f t="shared" si="15"/>
        <v>1.1338027992393926</v>
      </c>
      <c r="AF98" s="25">
        <f t="shared" si="16"/>
        <v>0.92003314401576963</v>
      </c>
      <c r="AH98" s="25">
        <f t="shared" si="17"/>
        <v>-2.1021584587195719E-2</v>
      </c>
      <c r="AI98" s="25">
        <f t="shared" si="17"/>
        <v>-2.0150905628802812E-2</v>
      </c>
      <c r="AJ98" s="25">
        <f t="shared" si="17"/>
        <v>-1.4347191787418223E-2</v>
      </c>
      <c r="AK98" s="25">
        <f t="shared" si="17"/>
        <v>-4.5315673125638778E-3</v>
      </c>
      <c r="AL98" s="25">
        <f t="shared" si="18"/>
        <v>-2.2296391180235631E-2</v>
      </c>
    </row>
    <row r="99" spans="1:38" x14ac:dyDescent="0.2">
      <c r="A99" s="24">
        <v>43944</v>
      </c>
      <c r="B99" s="25">
        <v>45.745358000000003</v>
      </c>
      <c r="C99" s="25">
        <v>70.061797999999996</v>
      </c>
      <c r="D99" s="25">
        <v>10.788041</v>
      </c>
      <c r="E99" s="25">
        <v>34.537998000000002</v>
      </c>
      <c r="F99" s="25">
        <v>40.206425000000003</v>
      </c>
      <c r="G99" s="25">
        <v>117.06444500000001</v>
      </c>
      <c r="H99" s="25">
        <v>24.481069999999999</v>
      </c>
      <c r="I99" s="25">
        <v>85.999893</v>
      </c>
      <c r="J99" s="25">
        <v>28.413204</v>
      </c>
      <c r="K99" s="25">
        <v>32.186442999999997</v>
      </c>
      <c r="L99" s="25">
        <v>23977.320313</v>
      </c>
      <c r="Z99" s="24">
        <v>43942</v>
      </c>
      <c r="AA99" s="26">
        <v>94</v>
      </c>
      <c r="AB99" s="25">
        <f t="shared" si="12"/>
        <v>0.86773432707576315</v>
      </c>
      <c r="AC99" s="25">
        <f t="shared" si="13"/>
        <v>0.86841785985413822</v>
      </c>
      <c r="AD99" s="25">
        <f t="shared" si="14"/>
        <v>0.95859603564921492</v>
      </c>
      <c r="AE99" s="25">
        <f t="shared" si="15"/>
        <v>1.1286765193490462</v>
      </c>
      <c r="AF99" s="25">
        <f t="shared" si="16"/>
        <v>0.8997467225396244</v>
      </c>
      <c r="AH99" s="25">
        <f t="shared" si="17"/>
        <v>-1.9888339101069852E-3</v>
      </c>
      <c r="AI99" s="25">
        <f t="shared" si="17"/>
        <v>-4.2575981997147738E-4</v>
      </c>
      <c r="AJ99" s="25">
        <f t="shared" si="17"/>
        <v>6.4966289516918962E-3</v>
      </c>
      <c r="AK99" s="25">
        <f t="shared" si="17"/>
        <v>2.1131222464624067E-2</v>
      </c>
      <c r="AL99" s="25">
        <f t="shared" si="18"/>
        <v>4.186001542800355E-3</v>
      </c>
    </row>
    <row r="100" spans="1:38" x14ac:dyDescent="0.2">
      <c r="A100" s="24">
        <v>43945</v>
      </c>
      <c r="B100" s="25">
        <v>44.972084000000002</v>
      </c>
      <c r="C100" s="25">
        <v>69.890060000000005</v>
      </c>
      <c r="D100" s="25">
        <v>10.678756999999999</v>
      </c>
      <c r="E100" s="25">
        <v>34.582619000000001</v>
      </c>
      <c r="F100" s="25">
        <v>39.742054000000003</v>
      </c>
      <c r="G100" s="25">
        <v>115.322411</v>
      </c>
      <c r="H100" s="25">
        <v>24.324389</v>
      </c>
      <c r="I100" s="25">
        <v>84.679359000000005</v>
      </c>
      <c r="J100" s="25">
        <v>28.155491000000001</v>
      </c>
      <c r="K100" s="25">
        <v>31.925820999999999</v>
      </c>
      <c r="L100" s="25">
        <v>23831.330077999999</v>
      </c>
      <c r="Z100" s="24">
        <v>43943</v>
      </c>
      <c r="AA100" s="26">
        <v>95</v>
      </c>
      <c r="AB100" s="25">
        <f t="shared" si="12"/>
        <v>0.86601026262831815</v>
      </c>
      <c r="AC100" s="25">
        <f t="shared" si="13"/>
        <v>0.86804820112096859</v>
      </c>
      <c r="AD100" s="25">
        <f t="shared" si="14"/>
        <v>0.9648439516282652</v>
      </c>
      <c r="AE100" s="25">
        <f t="shared" si="15"/>
        <v>1.1527806115131276</v>
      </c>
      <c r="AF100" s="25">
        <f t="shared" si="16"/>
        <v>0.90352095767415075</v>
      </c>
      <c r="AH100" s="25">
        <f t="shared" si="17"/>
        <v>6.0787180245064076E-3</v>
      </c>
      <c r="AI100" s="25">
        <f t="shared" si="17"/>
        <v>5.770330627834247E-3</v>
      </c>
      <c r="AJ100" s="25">
        <f t="shared" si="17"/>
        <v>8.0751683379208343E-3</v>
      </c>
      <c r="AK100" s="25">
        <f t="shared" si="17"/>
        <v>1.0876627001580458E-2</v>
      </c>
      <c r="AL100" s="25">
        <f t="shared" si="18"/>
        <v>3.5078266964685412E-3</v>
      </c>
    </row>
    <row r="101" spans="1:38" x14ac:dyDescent="0.2">
      <c r="A101" s="24">
        <v>43948</v>
      </c>
      <c r="B101" s="25">
        <v>45.419769000000002</v>
      </c>
      <c r="C101" s="25">
        <v>70.748649999999998</v>
      </c>
      <c r="D101" s="25">
        <v>10.866103000000001</v>
      </c>
      <c r="E101" s="25">
        <v>35.251961000000001</v>
      </c>
      <c r="F101" s="25">
        <v>40.012936000000003</v>
      </c>
      <c r="G101" s="25">
        <v>116.716042</v>
      </c>
      <c r="H101" s="25">
        <v>24.755254999999998</v>
      </c>
      <c r="I101" s="25">
        <v>86.825218000000007</v>
      </c>
      <c r="J101" s="25">
        <v>29.057497000000001</v>
      </c>
      <c r="K101" s="25">
        <v>32.642521000000002</v>
      </c>
      <c r="L101" s="25">
        <v>24280.140625</v>
      </c>
      <c r="Z101" s="24">
        <v>43944</v>
      </c>
      <c r="AA101" s="26">
        <v>96</v>
      </c>
      <c r="AB101" s="25">
        <f t="shared" si="12"/>
        <v>0.87129052718165945</v>
      </c>
      <c r="AC101" s="25">
        <f t="shared" si="13"/>
        <v>0.87307160565629149</v>
      </c>
      <c r="AD101" s="25">
        <f t="shared" si="14"/>
        <v>0.97266677174275673</v>
      </c>
      <c r="AE101" s="25">
        <f t="shared" si="15"/>
        <v>1.1653874116879426</v>
      </c>
      <c r="AF101" s="25">
        <f t="shared" si="16"/>
        <v>0.90669591795990923</v>
      </c>
      <c r="AH101" s="25">
        <f t="shared" si="17"/>
        <v>-9.4412288078604967E-3</v>
      </c>
      <c r="AI101" s="25">
        <f t="shared" si="17"/>
        <v>-9.1898579913729517E-3</v>
      </c>
      <c r="AJ101" s="25">
        <f t="shared" si="17"/>
        <v>-9.7152610489770024E-3</v>
      </c>
      <c r="AK101" s="25">
        <f t="shared" si="17"/>
        <v>-1.0300773563524518E-2</v>
      </c>
      <c r="AL101" s="25">
        <f t="shared" si="18"/>
        <v>-6.1072917800455429E-3</v>
      </c>
    </row>
    <row r="102" spans="1:38" x14ac:dyDescent="0.2">
      <c r="A102" s="24">
        <v>43949</v>
      </c>
      <c r="B102" s="25">
        <v>46.355839000000003</v>
      </c>
      <c r="C102" s="25">
        <v>71.392623999999998</v>
      </c>
      <c r="D102" s="25">
        <v>10.928554999999999</v>
      </c>
      <c r="E102" s="25">
        <v>35.653564000000003</v>
      </c>
      <c r="F102" s="25">
        <v>40.090328</v>
      </c>
      <c r="G102" s="25">
        <v>118.196754</v>
      </c>
      <c r="H102" s="25">
        <v>24.872765999999999</v>
      </c>
      <c r="I102" s="25">
        <v>88.145767000000006</v>
      </c>
      <c r="J102" s="25">
        <v>29.476286000000002</v>
      </c>
      <c r="K102" s="25">
        <v>32.609946999999998</v>
      </c>
      <c r="L102" s="25">
        <v>24575.960938</v>
      </c>
      <c r="Z102" s="24">
        <v>43945</v>
      </c>
      <c r="AA102" s="26">
        <v>97</v>
      </c>
      <c r="AB102" s="25">
        <f t="shared" si="12"/>
        <v>0.86310318406231623</v>
      </c>
      <c r="AC102" s="25">
        <f t="shared" si="13"/>
        <v>0.86508495588093282</v>
      </c>
      <c r="AD102" s="25">
        <f t="shared" si="14"/>
        <v>0.96326281505560252</v>
      </c>
      <c r="AE102" s="25">
        <f t="shared" si="15"/>
        <v>1.1534446353634507</v>
      </c>
      <c r="AF102" s="25">
        <f t="shared" si="16"/>
        <v>0.90117533649339976</v>
      </c>
      <c r="AH102" s="25">
        <f t="shared" si="17"/>
        <v>2.0585654299147826E-2</v>
      </c>
      <c r="AI102" s="25">
        <f t="shared" si="17"/>
        <v>1.8443435248202078E-2</v>
      </c>
      <c r="AJ102" s="25">
        <f t="shared" si="17"/>
        <v>1.3071534500474397E-2</v>
      </c>
      <c r="AK102" s="25">
        <f t="shared" si="17"/>
        <v>6.0574697000384536E-4</v>
      </c>
      <c r="AL102" s="25">
        <f t="shared" si="18"/>
        <v>1.8657653150579989E-2</v>
      </c>
    </row>
    <row r="103" spans="1:38" x14ac:dyDescent="0.2">
      <c r="A103" s="24">
        <v>43950</v>
      </c>
      <c r="B103" s="25">
        <v>46.72213</v>
      </c>
      <c r="C103" s="25">
        <v>71.092110000000005</v>
      </c>
      <c r="D103" s="25">
        <v>10.819267999999999</v>
      </c>
      <c r="E103" s="25">
        <v>35.921298999999998</v>
      </c>
      <c r="F103" s="25">
        <v>40.129024999999999</v>
      </c>
      <c r="G103" s="25">
        <v>118.89360000000001</v>
      </c>
      <c r="H103" s="25">
        <v>24.833594999999999</v>
      </c>
      <c r="I103" s="25">
        <v>87.815635999999998</v>
      </c>
      <c r="J103" s="25">
        <v>29.476286000000002</v>
      </c>
      <c r="K103" s="25">
        <v>33.163761000000001</v>
      </c>
      <c r="L103" s="25">
        <v>24643.589843999998</v>
      </c>
      <c r="Z103" s="24">
        <v>43948</v>
      </c>
      <c r="AA103" s="26">
        <v>98</v>
      </c>
      <c r="AB103" s="25">
        <f t="shared" si="12"/>
        <v>0.88105486746521677</v>
      </c>
      <c r="AC103" s="25">
        <f t="shared" si="13"/>
        <v>0.88118813676657315</v>
      </c>
      <c r="AD103" s="25">
        <f t="shared" si="14"/>
        <v>0.97593679187717808</v>
      </c>
      <c r="AE103" s="25">
        <f t="shared" si="15"/>
        <v>1.1541435426154936</v>
      </c>
      <c r="AF103" s="25">
        <f t="shared" si="16"/>
        <v>0.9181469866023414</v>
      </c>
      <c r="AH103" s="25">
        <f t="shared" si="17"/>
        <v>1.0733379157715967E-2</v>
      </c>
      <c r="AI103" s="25">
        <f t="shared" si="17"/>
        <v>9.9021862244160486E-3</v>
      </c>
      <c r="AJ103" s="25">
        <f t="shared" si="17"/>
        <v>6.9737586338642805E-3</v>
      </c>
      <c r="AK103" s="25">
        <f t="shared" si="17"/>
        <v>8.4292415639058982E-4</v>
      </c>
      <c r="AL103" s="25">
        <f t="shared" si="18"/>
        <v>1.211000954867103E-2</v>
      </c>
    </row>
    <row r="104" spans="1:38" x14ac:dyDescent="0.2">
      <c r="A104" s="24">
        <v>43955</v>
      </c>
      <c r="B104" s="25">
        <v>45.012791</v>
      </c>
      <c r="C104" s="25">
        <v>69.460769999999997</v>
      </c>
      <c r="D104" s="25">
        <v>10.460186999999999</v>
      </c>
      <c r="E104" s="25">
        <v>34.448749999999997</v>
      </c>
      <c r="F104" s="25">
        <v>39.045509000000003</v>
      </c>
      <c r="G104" s="25">
        <v>115.061111</v>
      </c>
      <c r="H104" s="25">
        <v>23.580165999999998</v>
      </c>
      <c r="I104" s="25">
        <v>84.679359000000005</v>
      </c>
      <c r="J104" s="25">
        <v>28.380991000000002</v>
      </c>
      <c r="K104" s="25">
        <v>31.078814999999999</v>
      </c>
      <c r="L104" s="25">
        <v>23613.800781000002</v>
      </c>
      <c r="Z104" s="24">
        <v>43949</v>
      </c>
      <c r="AA104" s="26">
        <v>99</v>
      </c>
      <c r="AB104" s="25">
        <f t="shared" si="12"/>
        <v>0.89056249663348364</v>
      </c>
      <c r="AC104" s="25">
        <f t="shared" si="13"/>
        <v>0.88995717044522782</v>
      </c>
      <c r="AD104" s="25">
        <f t="shared" si="14"/>
        <v>0.98276652628592753</v>
      </c>
      <c r="AE104" s="25">
        <f t="shared" si="15"/>
        <v>1.1551168082244254</v>
      </c>
      <c r="AF104" s="25">
        <f t="shared" si="16"/>
        <v>0.92933335216552315</v>
      </c>
      <c r="AH104" s="25">
        <f t="shared" si="17"/>
        <v>4.9536996136866074E-4</v>
      </c>
      <c r="AI104" s="25">
        <f t="shared" si="17"/>
        <v>4.359580236293209E-4</v>
      </c>
      <c r="AJ104" s="25">
        <f t="shared" si="17"/>
        <v>-3.1336750992349213E-3</v>
      </c>
      <c r="AK104" s="25">
        <f t="shared" si="17"/>
        <v>-7.9229170474157673E-3</v>
      </c>
      <c r="AL104" s="25">
        <f t="shared" si="18"/>
        <v>2.7480522469396362E-3</v>
      </c>
    </row>
    <row r="105" spans="1:38" x14ac:dyDescent="0.2">
      <c r="A105" s="24">
        <v>43956</v>
      </c>
      <c r="B105" s="25">
        <v>45.460476</v>
      </c>
      <c r="C105" s="25">
        <v>69.289032000000006</v>
      </c>
      <c r="D105" s="25">
        <v>10.585084</v>
      </c>
      <c r="E105" s="25">
        <v>34.805732999999996</v>
      </c>
      <c r="F105" s="25">
        <v>39.161594000000001</v>
      </c>
      <c r="G105" s="25">
        <v>116.019218</v>
      </c>
      <c r="H105" s="25">
        <v>23.736847000000001</v>
      </c>
      <c r="I105" s="25">
        <v>85.752280999999996</v>
      </c>
      <c r="J105" s="25">
        <v>28.896426999999999</v>
      </c>
      <c r="K105" s="25">
        <v>31.665201</v>
      </c>
      <c r="L105" s="25">
        <v>23868.660156000002</v>
      </c>
      <c r="Z105" s="24">
        <v>43950</v>
      </c>
      <c r="AA105" s="26">
        <v>100</v>
      </c>
      <c r="AB105" s="25">
        <f t="shared" si="12"/>
        <v>0.8910037638292706</v>
      </c>
      <c r="AC105" s="25">
        <f t="shared" si="13"/>
        <v>0.8903452389990234</v>
      </c>
      <c r="AD105" s="25">
        <f t="shared" si="14"/>
        <v>0.97969167560188675</v>
      </c>
      <c r="AE105" s="25">
        <f t="shared" si="15"/>
        <v>1.1460010728651551</v>
      </c>
      <c r="AF105" s="25">
        <f t="shared" si="16"/>
        <v>0.93189072105436632</v>
      </c>
      <c r="AH105" s="25">
        <f t="shared" si="17"/>
        <v>-3.7138186996925185E-2</v>
      </c>
      <c r="AI105" s="25">
        <f t="shared" si="17"/>
        <v>-3.6015752996321856E-2</v>
      </c>
      <c r="AJ105" s="25">
        <f t="shared" si="17"/>
        <v>-2.8829937439413103E-2</v>
      </c>
      <c r="AK105" s="25">
        <f t="shared" si="17"/>
        <v>-1.5880078952698495E-2</v>
      </c>
      <c r="AL105" s="25">
        <f t="shared" si="18"/>
        <v>-4.2685499803120308E-2</v>
      </c>
    </row>
    <row r="106" spans="1:38" x14ac:dyDescent="0.2">
      <c r="A106" s="24">
        <v>43957</v>
      </c>
      <c r="B106" s="25">
        <v>46.152351000000003</v>
      </c>
      <c r="C106" s="25">
        <v>69.890060000000005</v>
      </c>
      <c r="D106" s="25">
        <v>10.788041</v>
      </c>
      <c r="E106" s="25">
        <v>34.805732999999996</v>
      </c>
      <c r="F106" s="25">
        <v>39.471172000000003</v>
      </c>
      <c r="G106" s="25">
        <v>116.977356</v>
      </c>
      <c r="H106" s="25">
        <v>23.854355000000002</v>
      </c>
      <c r="I106" s="25">
        <v>85.917357999999993</v>
      </c>
      <c r="J106" s="25">
        <v>29.186358999999999</v>
      </c>
      <c r="K106" s="25">
        <v>32.381908000000003</v>
      </c>
      <c r="L106" s="25">
        <v>24137.480468999998</v>
      </c>
      <c r="Z106" s="24">
        <v>43955</v>
      </c>
      <c r="AA106" s="26">
        <v>101</v>
      </c>
      <c r="AB106" s="25">
        <f t="shared" si="12"/>
        <v>0.85852041915255195</v>
      </c>
      <c r="AC106" s="25">
        <f t="shared" si="13"/>
        <v>0.85884936309189619</v>
      </c>
      <c r="AD106" s="25">
        <f t="shared" si="14"/>
        <v>0.95185048414759443</v>
      </c>
      <c r="AE106" s="25">
        <f t="shared" si="15"/>
        <v>1.1279462210011832</v>
      </c>
      <c r="AF106" s="25">
        <f t="shared" si="16"/>
        <v>0.89294952464070287</v>
      </c>
      <c r="AH106" s="25">
        <f t="shared" si="17"/>
        <v>1.1164569683930425E-2</v>
      </c>
      <c r="AI106" s="25">
        <f t="shared" si="17"/>
        <v>9.7651752102470568E-3</v>
      </c>
      <c r="AJ106" s="25">
        <f t="shared" si="17"/>
        <v>5.1966842496786111E-3</v>
      </c>
      <c r="AK106" s="25">
        <f t="shared" si="17"/>
        <v>-4.2829265259799326E-3</v>
      </c>
      <c r="AL106" s="25">
        <f t="shared" si="18"/>
        <v>1.0734987928795903E-2</v>
      </c>
    </row>
    <row r="107" spans="1:38" x14ac:dyDescent="0.2">
      <c r="A107" s="24">
        <v>43958</v>
      </c>
      <c r="B107" s="25">
        <v>45.541865999999999</v>
      </c>
      <c r="C107" s="25">
        <v>68.645103000000006</v>
      </c>
      <c r="D107" s="25">
        <v>10.709981000000001</v>
      </c>
      <c r="E107" s="25">
        <v>34.671871000000003</v>
      </c>
      <c r="F107" s="25">
        <v>38.774628</v>
      </c>
      <c r="G107" s="25">
        <v>116.716042</v>
      </c>
      <c r="H107" s="25">
        <v>23.697672000000001</v>
      </c>
      <c r="I107" s="25">
        <v>84.596817000000001</v>
      </c>
      <c r="J107" s="25">
        <v>29.121925000000001</v>
      </c>
      <c r="K107" s="25">
        <v>31.697776999999999</v>
      </c>
      <c r="L107" s="25">
        <v>23980.630859000001</v>
      </c>
      <c r="Z107" s="24">
        <v>43956</v>
      </c>
      <c r="AA107" s="26">
        <v>102</v>
      </c>
      <c r="AB107" s="25">
        <f t="shared" si="12"/>
        <v>0.86815913614094808</v>
      </c>
      <c r="AC107" s="25">
        <f t="shared" si="13"/>
        <v>0.86727726057685972</v>
      </c>
      <c r="AD107" s="25">
        <f t="shared" si="14"/>
        <v>0.95680982547128879</v>
      </c>
      <c r="AE107" s="25">
        <f t="shared" si="15"/>
        <v>1.1231256406758925</v>
      </c>
      <c r="AF107" s="25">
        <f t="shared" si="16"/>
        <v>0.90258696335152599</v>
      </c>
      <c r="AH107" s="25">
        <f t="shared" si="17"/>
        <v>9.4815661824087516E-3</v>
      </c>
      <c r="AI107" s="25">
        <f t="shared" si="17"/>
        <v>9.5227761626002772E-3</v>
      </c>
      <c r="AJ107" s="25">
        <f t="shared" si="17"/>
        <v>1.1044859766931051E-2</v>
      </c>
      <c r="AK107" s="25">
        <f t="shared" si="17"/>
        <v>1.3614203220830914E-2</v>
      </c>
      <c r="AL107" s="25">
        <f t="shared" si="18"/>
        <v>1.119953069866142E-2</v>
      </c>
    </row>
    <row r="108" spans="1:38" x14ac:dyDescent="0.2">
      <c r="A108" s="24">
        <v>43959</v>
      </c>
      <c r="B108" s="25">
        <v>46.233745999999996</v>
      </c>
      <c r="C108" s="25">
        <v>68.688018999999997</v>
      </c>
      <c r="D108" s="25">
        <v>10.756819</v>
      </c>
      <c r="E108" s="25">
        <v>35.296585</v>
      </c>
      <c r="F108" s="25">
        <v>39.006808999999997</v>
      </c>
      <c r="G108" s="25">
        <v>117.761261</v>
      </c>
      <c r="H108" s="25">
        <v>23.893522000000001</v>
      </c>
      <c r="I108" s="25">
        <v>84.514290000000003</v>
      </c>
      <c r="J108" s="25">
        <v>29.347425000000001</v>
      </c>
      <c r="K108" s="25">
        <v>32.479641000000001</v>
      </c>
      <c r="L108" s="25">
        <v>24230.169922000001</v>
      </c>
      <c r="Z108" s="24">
        <v>43957</v>
      </c>
      <c r="AA108" s="26">
        <v>103</v>
      </c>
      <c r="AB108" s="25">
        <f t="shared" si="12"/>
        <v>0.87642979187099945</v>
      </c>
      <c r="AC108" s="25">
        <f t="shared" si="13"/>
        <v>0.87557559668898166</v>
      </c>
      <c r="AD108" s="25">
        <f t="shared" si="14"/>
        <v>0.9674362313736482</v>
      </c>
      <c r="AE108" s="25">
        <f t="shared" si="15"/>
        <v>1.1385206590613228</v>
      </c>
      <c r="AF108" s="25">
        <f t="shared" si="16"/>
        <v>0.91275233117745658</v>
      </c>
      <c r="AH108" s="25">
        <f t="shared" si="17"/>
        <v>-8.641488969201444E-3</v>
      </c>
      <c r="AI108" s="25">
        <f t="shared" si="17"/>
        <v>-9.6737792251812005E-3</v>
      </c>
      <c r="AJ108" s="25">
        <f t="shared" si="17"/>
        <v>-1.3868678807693463E-2</v>
      </c>
      <c r="AK108" s="25">
        <f t="shared" si="17"/>
        <v>-2.2841515580907509E-2</v>
      </c>
      <c r="AL108" s="25">
        <f t="shared" si="18"/>
        <v>-6.5193816303388274E-3</v>
      </c>
    </row>
    <row r="109" spans="1:38" x14ac:dyDescent="0.2">
      <c r="A109" s="24">
        <v>43962</v>
      </c>
      <c r="B109" s="25">
        <v>46.559337999999997</v>
      </c>
      <c r="C109" s="25">
        <v>68.816826000000006</v>
      </c>
      <c r="D109" s="25">
        <v>10.772429000000001</v>
      </c>
      <c r="E109" s="25">
        <v>35.742804999999997</v>
      </c>
      <c r="F109" s="25">
        <v>39.122906</v>
      </c>
      <c r="G109" s="25">
        <v>119.76458700000001</v>
      </c>
      <c r="H109" s="25">
        <v>24.520239</v>
      </c>
      <c r="I109" s="25">
        <v>84.349227999999997</v>
      </c>
      <c r="J109" s="25">
        <v>29.540714000000001</v>
      </c>
      <c r="K109" s="25">
        <v>33.000877000000003</v>
      </c>
      <c r="L109" s="25">
        <v>24602.060547000001</v>
      </c>
      <c r="Z109" s="24">
        <v>43958</v>
      </c>
      <c r="AA109" s="26">
        <v>104</v>
      </c>
      <c r="AB109" s="25">
        <f t="shared" si="12"/>
        <v>0.86888876327731357</v>
      </c>
      <c r="AC109" s="25">
        <f t="shared" si="13"/>
        <v>0.86714630894170364</v>
      </c>
      <c r="AD109" s="25">
        <f t="shared" si="14"/>
        <v>0.95411177885827514</v>
      </c>
      <c r="AE109" s="25">
        <f t="shared" si="15"/>
        <v>1.1128098761535816</v>
      </c>
      <c r="AF109" s="25">
        <f t="shared" si="16"/>
        <v>0.90682110536639315</v>
      </c>
      <c r="AH109" s="25">
        <f t="shared" si="17"/>
        <v>7.7964785517062873E-3</v>
      </c>
      <c r="AI109" s="25">
        <f t="shared" si="17"/>
        <v>7.8050110498534553E-3</v>
      </c>
      <c r="AJ109" s="25">
        <f t="shared" si="17"/>
        <v>3.9946587619631227E-3</v>
      </c>
      <c r="AK109" s="25">
        <f t="shared" si="17"/>
        <v>-1.2363016794080806E-3</v>
      </c>
      <c r="AL109" s="25">
        <f t="shared" si="18"/>
        <v>1.0352090712355988E-2</v>
      </c>
    </row>
    <row r="110" spans="1:38" x14ac:dyDescent="0.2">
      <c r="A110" s="24">
        <v>43963</v>
      </c>
      <c r="B110" s="25">
        <v>45.582568999999999</v>
      </c>
      <c r="C110" s="25">
        <v>68.730957000000004</v>
      </c>
      <c r="D110" s="25">
        <v>10.631919999999999</v>
      </c>
      <c r="E110" s="25">
        <v>35.073467000000001</v>
      </c>
      <c r="F110" s="25">
        <v>39.006808999999997</v>
      </c>
      <c r="G110" s="25">
        <v>118.28388200000001</v>
      </c>
      <c r="H110" s="25">
        <v>24.050201000000001</v>
      </c>
      <c r="I110" s="25">
        <v>81.955757000000006</v>
      </c>
      <c r="J110" s="25">
        <v>29.250782000000001</v>
      </c>
      <c r="K110" s="25">
        <v>31.469742</v>
      </c>
      <c r="L110" s="25">
        <v>24245.679688</v>
      </c>
      <c r="Z110" s="24">
        <v>43959</v>
      </c>
      <c r="AA110" s="26">
        <v>105</v>
      </c>
      <c r="AB110" s="25">
        <f t="shared" si="12"/>
        <v>0.87568951238265436</v>
      </c>
      <c r="AC110" s="25">
        <f t="shared" si="13"/>
        <v>0.87394087681078125</v>
      </c>
      <c r="AD110" s="25">
        <f t="shared" si="14"/>
        <v>0.95793075250548043</v>
      </c>
      <c r="AE110" s="25">
        <f t="shared" si="15"/>
        <v>1.1114349575170643</v>
      </c>
      <c r="AF110" s="25">
        <f t="shared" si="16"/>
        <v>0.91625735791005081</v>
      </c>
      <c r="AH110" s="25">
        <f t="shared" si="17"/>
        <v>7.7088016755568478E-3</v>
      </c>
      <c r="AI110" s="25">
        <f t="shared" si="17"/>
        <v>7.3487268279923967E-3</v>
      </c>
      <c r="AJ110" s="25">
        <f t="shared" si="17"/>
        <v>2.797373263598725E-3</v>
      </c>
      <c r="AK110" s="25">
        <f t="shared" si="17"/>
        <v>-5.2746627322976247E-3</v>
      </c>
      <c r="AL110" s="25">
        <f t="shared" si="18"/>
        <v>1.5231653823196467E-2</v>
      </c>
    </row>
    <row r="111" spans="1:38" x14ac:dyDescent="0.2">
      <c r="A111" s="24">
        <v>43964</v>
      </c>
      <c r="B111" s="25">
        <v>45.867457999999999</v>
      </c>
      <c r="C111" s="25">
        <v>68.730957000000004</v>
      </c>
      <c r="D111" s="25">
        <v>10.694368000000001</v>
      </c>
      <c r="E111" s="25">
        <v>34.716492000000002</v>
      </c>
      <c r="F111" s="25">
        <v>39.161594000000001</v>
      </c>
      <c r="G111" s="25">
        <v>117.405739</v>
      </c>
      <c r="H111" s="25">
        <v>23.854355000000002</v>
      </c>
      <c r="I111" s="25">
        <v>80.841537000000002</v>
      </c>
      <c r="J111" s="25">
        <v>29.186358999999999</v>
      </c>
      <c r="K111" s="25">
        <v>31.860673999999999</v>
      </c>
      <c r="L111" s="25">
        <v>24180.300781000002</v>
      </c>
      <c r="Z111" s="24">
        <v>43962</v>
      </c>
      <c r="AA111" s="26">
        <v>106</v>
      </c>
      <c r="AB111" s="25">
        <f t="shared" si="12"/>
        <v>0.88246611534850483</v>
      </c>
      <c r="AC111" s="25">
        <f t="shared" si="13"/>
        <v>0.8803868855479029</v>
      </c>
      <c r="AD111" s="25">
        <f t="shared" si="14"/>
        <v>0.96061419392466485</v>
      </c>
      <c r="AE111" s="25">
        <f t="shared" si="15"/>
        <v>1.1055879470277581</v>
      </c>
      <c r="AF111" s="25">
        <f t="shared" si="16"/>
        <v>0.93032030185930614</v>
      </c>
      <c r="AH111" s="25">
        <f t="shared" si="17"/>
        <v>-1.4254060835676596E-2</v>
      </c>
      <c r="AI111" s="25">
        <f t="shared" si="17"/>
        <v>-1.3484677341041029E-2</v>
      </c>
      <c r="AJ111" s="25">
        <f t="shared" si="17"/>
        <v>-6.0837916066881007E-3</v>
      </c>
      <c r="AK111" s="25">
        <f t="shared" si="17"/>
        <v>6.8753514488388012E-3</v>
      </c>
      <c r="AL111" s="25">
        <f t="shared" si="18"/>
        <v>-1.4591757187902843E-2</v>
      </c>
    </row>
    <row r="112" spans="1:38" x14ac:dyDescent="0.2">
      <c r="A112" s="24">
        <v>43965</v>
      </c>
      <c r="B112" s="25">
        <v>45.541865999999999</v>
      </c>
      <c r="C112" s="25">
        <v>68.258719999999997</v>
      </c>
      <c r="D112" s="25">
        <v>10.600697</v>
      </c>
      <c r="E112" s="25">
        <v>34.091766</v>
      </c>
      <c r="F112" s="25">
        <v>38.813324000000001</v>
      </c>
      <c r="G112" s="25">
        <v>115.12262699999999</v>
      </c>
      <c r="H112" s="25">
        <v>23.384316999999999</v>
      </c>
      <c r="I112" s="25">
        <v>79.809882999999999</v>
      </c>
      <c r="J112" s="25">
        <v>28.703135</v>
      </c>
      <c r="K112" s="25">
        <v>31.209123999999999</v>
      </c>
      <c r="L112" s="25">
        <v>23829.740234000001</v>
      </c>
      <c r="Z112" s="24">
        <v>43963</v>
      </c>
      <c r="AA112" s="26">
        <v>107</v>
      </c>
      <c r="AB112" s="25">
        <f t="shared" si="12"/>
        <v>0.86997661417520333</v>
      </c>
      <c r="AC112" s="25">
        <f t="shared" si="13"/>
        <v>0.86859483712994057</v>
      </c>
      <c r="AD112" s="25">
        <f t="shared" si="14"/>
        <v>0.95478775873406507</v>
      </c>
      <c r="AE112" s="25">
        <f t="shared" si="15"/>
        <v>1.1132154435345063</v>
      </c>
      <c r="AF112" s="25">
        <f t="shared" si="16"/>
        <v>0.91684385553935799</v>
      </c>
      <c r="AH112" s="25">
        <f t="shared" si="17"/>
        <v>-1.9202358214878978E-3</v>
      </c>
      <c r="AI112" s="25">
        <f t="shared" si="17"/>
        <v>-1.2880358704100425E-3</v>
      </c>
      <c r="AJ112" s="25">
        <f t="shared" si="17"/>
        <v>2.6340149738617105E-3</v>
      </c>
      <c r="AK112" s="25">
        <f t="shared" si="17"/>
        <v>1.0631381303814649E-2</v>
      </c>
      <c r="AL112" s="25">
        <f t="shared" si="18"/>
        <v>-2.7001599591454095E-3</v>
      </c>
    </row>
    <row r="113" spans="1:38" x14ac:dyDescent="0.2">
      <c r="A113" s="24">
        <v>43966</v>
      </c>
      <c r="B113" s="25">
        <v>45.175578999999999</v>
      </c>
      <c r="C113" s="25">
        <v>67.700630000000004</v>
      </c>
      <c r="D113" s="25">
        <v>10.631919999999999</v>
      </c>
      <c r="E113" s="25">
        <v>34.002524999999999</v>
      </c>
      <c r="F113" s="25">
        <v>39.045509000000003</v>
      </c>
      <c r="G113" s="25">
        <v>115.38602400000001</v>
      </c>
      <c r="H113" s="25">
        <v>23.384316999999999</v>
      </c>
      <c r="I113" s="25">
        <v>79.727348000000006</v>
      </c>
      <c r="J113" s="25">
        <v>28.477633999999998</v>
      </c>
      <c r="K113" s="25">
        <v>30.655308000000002</v>
      </c>
      <c r="L113" s="25">
        <v>23797.470702999999</v>
      </c>
      <c r="Z113" s="24">
        <v>43964</v>
      </c>
      <c r="AA113" s="26">
        <v>108</v>
      </c>
      <c r="AB113" s="25">
        <f t="shared" si="12"/>
        <v>0.86830765682548072</v>
      </c>
      <c r="AC113" s="25">
        <f t="shared" si="13"/>
        <v>0.86747677602884132</v>
      </c>
      <c r="AD113" s="25">
        <f t="shared" si="14"/>
        <v>0.95730599907284075</v>
      </c>
      <c r="AE113" s="25">
        <f t="shared" si="15"/>
        <v>1.1251135962202512</v>
      </c>
      <c r="AF113" s="25">
        <f t="shared" si="16"/>
        <v>0.91437156975747103</v>
      </c>
      <c r="AH113" s="25">
        <f t="shared" si="17"/>
        <v>-1.4179291837143754E-2</v>
      </c>
      <c r="AI113" s="25">
        <f t="shared" si="17"/>
        <v>-1.3356906114657285E-2</v>
      </c>
      <c r="AJ113" s="25">
        <f t="shared" si="17"/>
        <v>-8.8880639702529352E-3</v>
      </c>
      <c r="AK113" s="25">
        <f t="shared" si="17"/>
        <v>-3.3667299069362056E-4</v>
      </c>
      <c r="AL113" s="25">
        <f t="shared" si="18"/>
        <v>-1.4603894102670267E-2</v>
      </c>
    </row>
    <row r="114" spans="1:38" x14ac:dyDescent="0.2">
      <c r="A114" s="24">
        <v>43969</v>
      </c>
      <c r="B114" s="25">
        <v>45.663963000000003</v>
      </c>
      <c r="C114" s="25">
        <v>68.258719999999997</v>
      </c>
      <c r="D114" s="25">
        <v>10.663147</v>
      </c>
      <c r="E114" s="25">
        <v>34.091766</v>
      </c>
      <c r="F114" s="25">
        <v>38.424587000000002</v>
      </c>
      <c r="G114" s="25">
        <v>115.649483</v>
      </c>
      <c r="H114" s="25">
        <v>23.227636</v>
      </c>
      <c r="I114" s="25">
        <v>79.974945000000005</v>
      </c>
      <c r="J114" s="25">
        <v>28.477633999999998</v>
      </c>
      <c r="K114" s="25">
        <v>30.687881000000001</v>
      </c>
      <c r="L114" s="25">
        <v>23934.769531000002</v>
      </c>
      <c r="Z114" s="24">
        <v>43965</v>
      </c>
      <c r="AA114" s="26">
        <v>109</v>
      </c>
      <c r="AB114" s="25">
        <f t="shared" si="12"/>
        <v>0.85608254568743336</v>
      </c>
      <c r="AC114" s="25">
        <f t="shared" si="13"/>
        <v>0.85596700873338438</v>
      </c>
      <c r="AD114" s="25">
        <f t="shared" si="14"/>
        <v>0.94883510281291961</v>
      </c>
      <c r="AE114" s="25">
        <f t="shared" si="15"/>
        <v>1.1247348646188695</v>
      </c>
      <c r="AF114" s="25">
        <f t="shared" si="16"/>
        <v>0.90111521697019303</v>
      </c>
      <c r="AH114" s="25">
        <f t="shared" si="17"/>
        <v>-3.9124287634398069E-3</v>
      </c>
      <c r="AI114" s="25">
        <f t="shared" si="17"/>
        <v>-3.0073506263129102E-3</v>
      </c>
      <c r="AJ114" s="25">
        <f t="shared" si="17"/>
        <v>-9.4757500830766617E-5</v>
      </c>
      <c r="AK114" s="25">
        <f t="shared" si="17"/>
        <v>5.8578447568091996E-3</v>
      </c>
      <c r="AL114" s="25">
        <f t="shared" si="18"/>
        <v>-1.3550882070596515E-3</v>
      </c>
    </row>
    <row r="115" spans="1:38" x14ac:dyDescent="0.2">
      <c r="A115" s="24">
        <v>43970</v>
      </c>
      <c r="B115" s="25">
        <v>46.682490999999999</v>
      </c>
      <c r="C115" s="25">
        <v>69.160255000000006</v>
      </c>
      <c r="D115" s="25">
        <v>10.834880999999999</v>
      </c>
      <c r="E115" s="25">
        <v>35.207335999999998</v>
      </c>
      <c r="F115" s="25">
        <v>38.626179</v>
      </c>
      <c r="G115" s="25">
        <v>117.844818</v>
      </c>
      <c r="H115" s="25">
        <v>23.736847000000001</v>
      </c>
      <c r="I115" s="25">
        <v>81.873215000000002</v>
      </c>
      <c r="J115" s="25">
        <v>29.186358999999999</v>
      </c>
      <c r="K115" s="25">
        <v>32.088711000000004</v>
      </c>
      <c r="L115" s="25">
        <v>24388.130859000001</v>
      </c>
      <c r="Z115" s="24">
        <v>43966</v>
      </c>
      <c r="AA115" s="26">
        <v>110</v>
      </c>
      <c r="AB115" s="25">
        <f t="shared" si="12"/>
        <v>0.85273972724538882</v>
      </c>
      <c r="AC115" s="25">
        <f t="shared" si="13"/>
        <v>0.85339668268659274</v>
      </c>
      <c r="AD115" s="25">
        <f t="shared" si="14"/>
        <v>0.9487451978295296</v>
      </c>
      <c r="AE115" s="25">
        <f t="shared" si="15"/>
        <v>1.1313427218539598</v>
      </c>
      <c r="AF115" s="25">
        <f t="shared" si="16"/>
        <v>0.89989495333563174</v>
      </c>
      <c r="AH115" s="25">
        <f t="shared" si="17"/>
        <v>4.7789066803152758E-4</v>
      </c>
      <c r="AI115" s="25">
        <f t="shared" si="17"/>
        <v>6.6034423344046855E-5</v>
      </c>
      <c r="AJ115" s="25">
        <f t="shared" si="17"/>
        <v>-2.9153051743191979E-3</v>
      </c>
      <c r="AK115" s="25">
        <f t="shared" si="17"/>
        <v>-8.8553315713832126E-3</v>
      </c>
      <c r="AL115" s="25">
        <f t="shared" si="18"/>
        <v>5.7528917978348915E-3</v>
      </c>
    </row>
    <row r="116" spans="1:38" x14ac:dyDescent="0.2">
      <c r="A116" s="24">
        <v>43971</v>
      </c>
      <c r="B116" s="25">
        <v>45.961039999999997</v>
      </c>
      <c r="C116" s="25">
        <v>69.718338000000003</v>
      </c>
      <c r="D116" s="25">
        <v>10.881716000000001</v>
      </c>
      <c r="E116" s="25">
        <v>34.314888000000003</v>
      </c>
      <c r="F116" s="25">
        <v>38.706825000000002</v>
      </c>
      <c r="G116" s="25">
        <v>118.371681</v>
      </c>
      <c r="H116" s="25">
        <v>23.540997000000001</v>
      </c>
      <c r="I116" s="25">
        <v>81.790679999999995</v>
      </c>
      <c r="J116" s="25">
        <v>28.928640000000001</v>
      </c>
      <c r="K116" s="25">
        <v>31.860673999999999</v>
      </c>
      <c r="L116" s="25">
        <v>24399.949218999998</v>
      </c>
      <c r="Z116" s="24">
        <v>43969</v>
      </c>
      <c r="AA116" s="26">
        <v>111</v>
      </c>
      <c r="AB116" s="25">
        <f t="shared" si="12"/>
        <v>0.85314734099294465</v>
      </c>
      <c r="AC116" s="25">
        <f t="shared" si="13"/>
        <v>0.85345303810509598</v>
      </c>
      <c r="AD116" s="25">
        <f t="shared" si="14"/>
        <v>0.94598334382490568</v>
      </c>
      <c r="AE116" s="25">
        <f t="shared" si="15"/>
        <v>1.1213685344779072</v>
      </c>
      <c r="AF116" s="25">
        <f t="shared" si="16"/>
        <v>0.90508687158434398</v>
      </c>
      <c r="AH116" s="25">
        <f t="shared" si="17"/>
        <v>2.1483248707527547E-2</v>
      </c>
      <c r="AI116" s="25">
        <f t="shared" si="17"/>
        <v>2.0153383899385424E-2</v>
      </c>
      <c r="AJ116" s="25">
        <f t="shared" si="17"/>
        <v>1.1573433484523138E-2</v>
      </c>
      <c r="AK116" s="25">
        <f t="shared" si="17"/>
        <v>-4.1348846556567148E-3</v>
      </c>
      <c r="AL116" s="25">
        <f t="shared" si="18"/>
        <v>1.8764379899122829E-2</v>
      </c>
    </row>
    <row r="117" spans="1:38" x14ac:dyDescent="0.2">
      <c r="A117" s="24">
        <v>43972</v>
      </c>
      <c r="B117" s="25">
        <v>45.239581999999999</v>
      </c>
      <c r="C117" s="25">
        <v>69.074393999999998</v>
      </c>
      <c r="D117" s="25">
        <v>10.631919999999999</v>
      </c>
      <c r="E117" s="25">
        <v>34.359501000000002</v>
      </c>
      <c r="F117" s="25">
        <v>37.981068</v>
      </c>
      <c r="G117" s="25">
        <v>117.142319</v>
      </c>
      <c r="H117" s="25">
        <v>23.266805999999999</v>
      </c>
      <c r="I117" s="25">
        <v>81.212952000000001</v>
      </c>
      <c r="J117" s="25">
        <v>28.606490999999998</v>
      </c>
      <c r="K117" s="25">
        <v>31.306851999999999</v>
      </c>
      <c r="L117" s="25">
        <v>24280.029297000001</v>
      </c>
      <c r="Z117" s="24">
        <v>43970</v>
      </c>
      <c r="AA117" s="26">
        <v>112</v>
      </c>
      <c r="AB117" s="25">
        <f t="shared" si="12"/>
        <v>0.87167401149303303</v>
      </c>
      <c r="AC117" s="25">
        <f t="shared" si="13"/>
        <v>0.8708274937981253</v>
      </c>
      <c r="AD117" s="25">
        <f t="shared" si="14"/>
        <v>0.95699521881891447</v>
      </c>
      <c r="AE117" s="25">
        <f t="shared" si="15"/>
        <v>1.1167413779033619</v>
      </c>
      <c r="AF117" s="25">
        <f t="shared" si="16"/>
        <v>0.92223060825268277</v>
      </c>
      <c r="AH117" s="25">
        <f t="shared" si="17"/>
        <v>-4.8243455585405826E-3</v>
      </c>
      <c r="AI117" s="25">
        <f t="shared" si="17"/>
        <v>-4.0934719190623414E-3</v>
      </c>
      <c r="AJ117" s="25">
        <f t="shared" si="17"/>
        <v>3.14729445756156E-3</v>
      </c>
      <c r="AK117" s="25">
        <f t="shared" si="17"/>
        <v>1.4844206948213159E-2</v>
      </c>
      <c r="AL117" s="25">
        <f t="shared" si="18"/>
        <v>4.844773646457412E-4</v>
      </c>
    </row>
    <row r="118" spans="1:38" x14ac:dyDescent="0.2">
      <c r="A118" s="24">
        <v>43973</v>
      </c>
      <c r="B118" s="25">
        <v>42.226436999999997</v>
      </c>
      <c r="C118" s="25">
        <v>66.155151000000004</v>
      </c>
      <c r="D118" s="25">
        <v>10.054268</v>
      </c>
      <c r="E118" s="25">
        <v>31.994499000000001</v>
      </c>
      <c r="F118" s="25">
        <v>35.682850000000002</v>
      </c>
      <c r="G118" s="25">
        <v>108.88788599999999</v>
      </c>
      <c r="H118" s="25">
        <v>21.700019999999999</v>
      </c>
      <c r="I118" s="25">
        <v>74.899139000000005</v>
      </c>
      <c r="J118" s="25">
        <v>25.803829</v>
      </c>
      <c r="K118" s="25">
        <v>28.668087</v>
      </c>
      <c r="L118" s="25">
        <v>22930.140625</v>
      </c>
      <c r="Z118" s="24">
        <v>43971</v>
      </c>
      <c r="AA118" s="26">
        <v>113</v>
      </c>
      <c r="AB118" s="25">
        <f t="shared" si="12"/>
        <v>0.86747888236004966</v>
      </c>
      <c r="AC118" s="25">
        <f t="shared" si="13"/>
        <v>0.86727007197657779</v>
      </c>
      <c r="AD118" s="25">
        <f t="shared" si="14"/>
        <v>0.96001190928346336</v>
      </c>
      <c r="AE118" s="25">
        <f t="shared" si="15"/>
        <v>1.1334421663366741</v>
      </c>
      <c r="AF118" s="25">
        <f t="shared" si="16"/>
        <v>0.92267751635705375</v>
      </c>
      <c r="AH118" s="25">
        <f t="shared" si="17"/>
        <v>-1.2186817949719431E-2</v>
      </c>
      <c r="AI118" s="25">
        <f t="shared" si="17"/>
        <v>-1.2619289648863524E-2</v>
      </c>
      <c r="AJ118" s="25">
        <f t="shared" si="17"/>
        <v>-1.6894190343204371E-2</v>
      </c>
      <c r="AK118" s="25">
        <f t="shared" si="17"/>
        <v>-2.4559909888920234E-2</v>
      </c>
      <c r="AL118" s="25">
        <f t="shared" si="18"/>
        <v>-4.9268782869251737E-3</v>
      </c>
    </row>
    <row r="119" spans="1:38" x14ac:dyDescent="0.2">
      <c r="A119" s="24">
        <v>43976</v>
      </c>
      <c r="B119" s="25">
        <v>41.589855</v>
      </c>
      <c r="C119" s="25">
        <v>65.639983999999998</v>
      </c>
      <c r="D119" s="25">
        <v>9.9762079999999997</v>
      </c>
      <c r="E119" s="25">
        <v>31.86063</v>
      </c>
      <c r="F119" s="25">
        <v>35.158690999999997</v>
      </c>
      <c r="G119" s="25">
        <v>104.760696</v>
      </c>
      <c r="H119" s="25">
        <v>21.112473000000001</v>
      </c>
      <c r="I119" s="25">
        <v>73.537338000000005</v>
      </c>
      <c r="J119" s="25">
        <v>25.578329</v>
      </c>
      <c r="K119" s="25">
        <v>27.625610000000002</v>
      </c>
      <c r="L119" s="25">
        <v>22952.240234000001</v>
      </c>
      <c r="Z119" s="24">
        <v>43972</v>
      </c>
      <c r="AA119" s="26">
        <v>114</v>
      </c>
      <c r="AB119" s="25">
        <f t="shared" si="12"/>
        <v>0.85697123260091956</v>
      </c>
      <c r="AC119" s="25">
        <f t="shared" si="13"/>
        <v>0.85639450502350811</v>
      </c>
      <c r="AD119" s="25">
        <f t="shared" si="14"/>
        <v>0.94392951736082831</v>
      </c>
      <c r="AE119" s="25">
        <f t="shared" si="15"/>
        <v>1.1059439874677945</v>
      </c>
      <c r="AF119" s="25">
        <f t="shared" si="16"/>
        <v>0.91814277676396761</v>
      </c>
      <c r="AH119" s="25">
        <f t="shared" si="17"/>
        <v>-7.7997236492933775E-2</v>
      </c>
      <c r="AI119" s="25">
        <f t="shared" si="17"/>
        <v>-7.3311391003027887E-2</v>
      </c>
      <c r="AJ119" s="25">
        <f t="shared" si="17"/>
        <v>-6.0450537135782634E-2</v>
      </c>
      <c r="AK119" s="25">
        <f t="shared" si="17"/>
        <v>-3.3242035999005312E-2</v>
      </c>
      <c r="AL119" s="25">
        <f t="shared" si="18"/>
        <v>-5.7201943175069658E-2</v>
      </c>
    </row>
    <row r="120" spans="1:38" x14ac:dyDescent="0.2">
      <c r="A120" s="24">
        <v>43977</v>
      </c>
      <c r="B120" s="25">
        <v>42.735698999999997</v>
      </c>
      <c r="C120" s="25">
        <v>66.970839999999995</v>
      </c>
      <c r="D120" s="25">
        <v>10.272838999999999</v>
      </c>
      <c r="E120" s="25">
        <v>32.931576</v>
      </c>
      <c r="F120" s="25">
        <v>35.763492999999997</v>
      </c>
      <c r="G120" s="25">
        <v>108.536644</v>
      </c>
      <c r="H120" s="25">
        <v>22.130886</v>
      </c>
      <c r="I120" s="25">
        <v>76.426002999999994</v>
      </c>
      <c r="J120" s="25">
        <v>26.351475000000001</v>
      </c>
      <c r="K120" s="25">
        <v>27.853655</v>
      </c>
      <c r="L120" s="25">
        <v>23384.660156000002</v>
      </c>
      <c r="Z120" s="24">
        <v>43973</v>
      </c>
      <c r="AA120" s="26">
        <v>115</v>
      </c>
      <c r="AB120" s="25">
        <f t="shared" si="12"/>
        <v>0.79267009527340226</v>
      </c>
      <c r="AC120" s="25">
        <f t="shared" si="13"/>
        <v>0.7958571813445201</v>
      </c>
      <c r="AD120" s="25">
        <f t="shared" si="14"/>
        <v>0.88855892266669456</v>
      </c>
      <c r="AE120" s="25">
        <f t="shared" si="15"/>
        <v>1.0697844949245128</v>
      </c>
      <c r="AF120" s="25">
        <f t="shared" si="16"/>
        <v>0.86709709973978699</v>
      </c>
      <c r="AH120" s="25">
        <f t="shared" si="17"/>
        <v>-1.4969359357919293E-2</v>
      </c>
      <c r="AI120" s="25">
        <f t="shared" si="17"/>
        <v>-1.4696969673200722E-2</v>
      </c>
      <c r="AJ120" s="25">
        <f t="shared" si="17"/>
        <v>-1.1578802645874783E-2</v>
      </c>
      <c r="AK120" s="25">
        <f t="shared" si="17"/>
        <v>-6.3738862659837789E-3</v>
      </c>
      <c r="AL120" s="25">
        <f t="shared" si="18"/>
        <v>9.6331577809394275E-4</v>
      </c>
    </row>
    <row r="121" spans="1:38" x14ac:dyDescent="0.2">
      <c r="A121" s="24">
        <v>43978</v>
      </c>
      <c r="B121" s="25">
        <v>42.183993999999998</v>
      </c>
      <c r="C121" s="25">
        <v>66.369804000000002</v>
      </c>
      <c r="D121" s="25">
        <v>10.038657000000001</v>
      </c>
      <c r="E121" s="25">
        <v>33.333182999999998</v>
      </c>
      <c r="F121" s="25">
        <v>34.634540999999999</v>
      </c>
      <c r="G121" s="25">
        <v>107.30727400000001</v>
      </c>
      <c r="H121" s="25">
        <v>22.209225</v>
      </c>
      <c r="I121" s="25">
        <v>76.591080000000005</v>
      </c>
      <c r="J121" s="25">
        <v>26.029329000000001</v>
      </c>
      <c r="K121" s="25">
        <v>27.527874000000001</v>
      </c>
      <c r="L121" s="25">
        <v>23301.359375</v>
      </c>
      <c r="Z121" s="24">
        <v>43976</v>
      </c>
      <c r="AA121" s="26">
        <v>116</v>
      </c>
      <c r="AB121" s="25">
        <f t="shared" si="12"/>
        <v>0.78089270170733582</v>
      </c>
      <c r="AC121" s="25">
        <f t="shared" si="13"/>
        <v>0.78424602588685044</v>
      </c>
      <c r="AD121" s="25">
        <f t="shared" si="14"/>
        <v>0.87832980898954482</v>
      </c>
      <c r="AE121" s="25">
        <f t="shared" si="15"/>
        <v>1.0629874948888092</v>
      </c>
      <c r="AF121" s="25">
        <f t="shared" si="16"/>
        <v>0.86793279050953276</v>
      </c>
      <c r="AH121" s="25">
        <f t="shared" si="17"/>
        <v>2.932710463560298E-2</v>
      </c>
      <c r="AI121" s="25">
        <f t="shared" si="17"/>
        <v>2.8252240075940294E-2</v>
      </c>
      <c r="AJ121" s="25">
        <f t="shared" si="17"/>
        <v>2.3046719064958088E-2</v>
      </c>
      <c r="AK121" s="25">
        <f t="shared" si="17"/>
        <v>1.2315599922381036E-2</v>
      </c>
      <c r="AL121" s="25">
        <f t="shared" si="18"/>
        <v>1.8664713084076467E-2</v>
      </c>
    </row>
    <row r="122" spans="1:38" x14ac:dyDescent="0.2">
      <c r="A122" s="24">
        <v>43979</v>
      </c>
      <c r="B122" s="25">
        <v>40.953274</v>
      </c>
      <c r="C122" s="25">
        <v>65.468269000000006</v>
      </c>
      <c r="D122" s="25">
        <v>10.023046000000001</v>
      </c>
      <c r="E122" s="25">
        <v>33.020820999999998</v>
      </c>
      <c r="F122" s="25">
        <v>34.674858</v>
      </c>
      <c r="G122" s="25">
        <v>106.69257399999999</v>
      </c>
      <c r="H122" s="25">
        <v>22.052548999999999</v>
      </c>
      <c r="I122" s="25">
        <v>75.683197000000007</v>
      </c>
      <c r="J122" s="25">
        <v>25.61054</v>
      </c>
      <c r="K122" s="25">
        <v>26.485403000000002</v>
      </c>
      <c r="L122" s="25">
        <v>23132.759765999999</v>
      </c>
      <c r="Z122" s="24">
        <v>43977</v>
      </c>
      <c r="AA122" s="26">
        <v>117</v>
      </c>
      <c r="AB122" s="25">
        <f t="shared" si="12"/>
        <v>0.8041331454477767</v>
      </c>
      <c r="AC122" s="25">
        <f t="shared" si="13"/>
        <v>0.80671868966863147</v>
      </c>
      <c r="AD122" s="25">
        <f t="shared" si="14"/>
        <v>0.89880749469074406</v>
      </c>
      <c r="AE122" s="25">
        <f t="shared" si="15"/>
        <v>1.0761597693389078</v>
      </c>
      <c r="AF122" s="25">
        <f t="shared" si="16"/>
        <v>0.884284633543025</v>
      </c>
      <c r="AH122" s="25">
        <f t="shared" si="17"/>
        <v>-1.054877378553154E-2</v>
      </c>
      <c r="AI122" s="25">
        <f t="shared" si="17"/>
        <v>-1.1593052235784357E-2</v>
      </c>
      <c r="AJ122" s="25">
        <f t="shared" si="17"/>
        <v>-2.1624807759846154E-2</v>
      </c>
      <c r="AK122" s="25">
        <f t="shared" si="17"/>
        <v>-3.9776425108635417E-2</v>
      </c>
      <c r="AL122" s="25">
        <f t="shared" si="18"/>
        <v>-3.5685573641526247E-3</v>
      </c>
    </row>
    <row r="123" spans="1:38" x14ac:dyDescent="0.2">
      <c r="A123" s="24">
        <v>43980</v>
      </c>
      <c r="B123" s="25">
        <v>40.231822999999999</v>
      </c>
      <c r="C123" s="25">
        <v>65.210678000000001</v>
      </c>
      <c r="D123" s="25">
        <v>10.179166</v>
      </c>
      <c r="E123" s="25">
        <v>31.994499000000001</v>
      </c>
      <c r="F123" s="25">
        <v>34.795817999999997</v>
      </c>
      <c r="G123" s="25">
        <v>103.53132600000001</v>
      </c>
      <c r="H123" s="25">
        <v>21.660851000000001</v>
      </c>
      <c r="I123" s="25">
        <v>73.454796000000002</v>
      </c>
      <c r="J123" s="25">
        <v>25.15954</v>
      </c>
      <c r="K123" s="25">
        <v>26.192207</v>
      </c>
      <c r="L123" s="25">
        <v>22961.470702999999</v>
      </c>
      <c r="Z123" s="24">
        <v>43978</v>
      </c>
      <c r="AA123" s="26">
        <v>118</v>
      </c>
      <c r="AB123" s="25">
        <f t="shared" si="12"/>
        <v>0.79569511051007102</v>
      </c>
      <c r="AC123" s="25">
        <f t="shared" si="13"/>
        <v>0.79742035991118809</v>
      </c>
      <c r="AD123" s="25">
        <f t="shared" si="14"/>
        <v>0.87957960441311178</v>
      </c>
      <c r="AE123" s="25">
        <f t="shared" si="15"/>
        <v>1.0341941352173045</v>
      </c>
      <c r="AF123" s="25">
        <f t="shared" si="16"/>
        <v>0.8811346369166454</v>
      </c>
      <c r="AH123" s="25">
        <f t="shared" si="17"/>
        <v>-1.2638727233485497E-2</v>
      </c>
      <c r="AI123" s="25">
        <f t="shared" si="17"/>
        <v>-1.1404676149064708E-2</v>
      </c>
      <c r="AJ123" s="25">
        <f t="shared" si="17"/>
        <v>-6.381049477568318E-3</v>
      </c>
      <c r="AK123" s="25">
        <f t="shared" si="17"/>
        <v>2.9646855012007284E-3</v>
      </c>
      <c r="AL123" s="25">
        <f t="shared" si="18"/>
        <v>-7.2619165841611988E-3</v>
      </c>
    </row>
    <row r="124" spans="1:38" x14ac:dyDescent="0.2">
      <c r="A124" s="24">
        <v>43983</v>
      </c>
      <c r="B124" s="25">
        <v>41.335223999999997</v>
      </c>
      <c r="C124" s="25">
        <v>67.185455000000005</v>
      </c>
      <c r="D124" s="25">
        <v>10.444573</v>
      </c>
      <c r="E124" s="25">
        <v>32.663845000000002</v>
      </c>
      <c r="F124" s="25">
        <v>35.884444999999999</v>
      </c>
      <c r="G124" s="25">
        <v>107.13163</v>
      </c>
      <c r="H124" s="25">
        <v>22.679264</v>
      </c>
      <c r="I124" s="25">
        <v>77.952881000000005</v>
      </c>
      <c r="J124" s="25">
        <v>26.576979000000001</v>
      </c>
      <c r="K124" s="25">
        <v>27.755922000000002</v>
      </c>
      <c r="L124" s="25">
        <v>23732.519531000002</v>
      </c>
      <c r="Z124" s="24">
        <v>43979</v>
      </c>
      <c r="AA124" s="26">
        <v>119</v>
      </c>
      <c r="AB124" s="25">
        <f t="shared" si="12"/>
        <v>0.78570182130039656</v>
      </c>
      <c r="AC124" s="25">
        <f t="shared" si="13"/>
        <v>0.78837770126058704</v>
      </c>
      <c r="AD124" s="25">
        <f t="shared" si="14"/>
        <v>0.8739848326793993</v>
      </c>
      <c r="AE124" s="25">
        <f t="shared" si="15"/>
        <v>1.0372647450225372</v>
      </c>
      <c r="AF124" s="25">
        <f t="shared" si="16"/>
        <v>0.87475908805403735</v>
      </c>
      <c r="AH124" s="25">
        <f t="shared" si="17"/>
        <v>-1.4147796556207598E-2</v>
      </c>
      <c r="AI124" s="25">
        <f t="shared" si="17"/>
        <v>-1.2073705612958563E-2</v>
      </c>
      <c r="AJ124" s="25">
        <f t="shared" si="17"/>
        <v>1.2913846658633155E-3</v>
      </c>
      <c r="AK124" s="25">
        <f t="shared" si="17"/>
        <v>2.5001038270096372E-2</v>
      </c>
      <c r="AL124" s="25">
        <f t="shared" si="18"/>
        <v>-7.4321601516853519E-3</v>
      </c>
    </row>
    <row r="125" spans="1:38" x14ac:dyDescent="0.2">
      <c r="A125" s="24">
        <v>43984</v>
      </c>
      <c r="B125" s="25">
        <v>42.014240000000001</v>
      </c>
      <c r="C125" s="25">
        <v>67.600952000000007</v>
      </c>
      <c r="D125" s="25">
        <v>10.522634999999999</v>
      </c>
      <c r="E125" s="25">
        <v>33.199314000000001</v>
      </c>
      <c r="F125" s="25">
        <v>35.884444999999999</v>
      </c>
      <c r="G125" s="25">
        <v>107.92195100000001</v>
      </c>
      <c r="H125" s="25">
        <v>23.070962999999999</v>
      </c>
      <c r="I125" s="25">
        <v>79.438484000000003</v>
      </c>
      <c r="J125" s="25">
        <v>26.995766</v>
      </c>
      <c r="K125" s="25">
        <v>28.440045999999999</v>
      </c>
      <c r="L125" s="25">
        <v>23995.939452999999</v>
      </c>
      <c r="Z125" s="24">
        <v>43980</v>
      </c>
      <c r="AA125" s="26">
        <v>120</v>
      </c>
      <c r="AB125" s="25">
        <f t="shared" si="12"/>
        <v>0.7746641353545265</v>
      </c>
      <c r="AC125" s="25">
        <f t="shared" si="13"/>
        <v>0.77891629304808696</v>
      </c>
      <c r="AD125" s="25">
        <f t="shared" si="14"/>
        <v>0.87511421236536968</v>
      </c>
      <c r="AE125" s="25">
        <f t="shared" si="15"/>
        <v>1.0635243312834604</v>
      </c>
      <c r="AF125" s="25">
        <f t="shared" si="16"/>
        <v>0.86828183821185734</v>
      </c>
      <c r="AH125" s="25">
        <f t="shared" si="17"/>
        <v>4.1987826597770783E-2</v>
      </c>
      <c r="AI125" s="25">
        <f t="shared" si="17"/>
        <v>3.8608571004391523E-2</v>
      </c>
      <c r="AJ125" s="25">
        <f t="shared" si="17"/>
        <v>3.2836498796052702E-2</v>
      </c>
      <c r="AK125" s="25">
        <f t="shared" si="17"/>
        <v>1.811285665616684E-2</v>
      </c>
      <c r="AL125" s="25">
        <f t="shared" si="18"/>
        <v>3.3028615329124378E-2</v>
      </c>
    </row>
    <row r="126" spans="1:38" x14ac:dyDescent="0.2">
      <c r="A126" s="24">
        <v>43985</v>
      </c>
      <c r="B126" s="25">
        <v>42.905456999999998</v>
      </c>
      <c r="C126" s="25">
        <v>67.687507999999994</v>
      </c>
      <c r="D126" s="25">
        <v>10.538247</v>
      </c>
      <c r="E126" s="25">
        <v>34.047145999999998</v>
      </c>
      <c r="F126" s="25">
        <v>35.521571999999999</v>
      </c>
      <c r="G126" s="25">
        <v>109.326965</v>
      </c>
      <c r="H126" s="25">
        <v>23.305979000000001</v>
      </c>
      <c r="I126" s="25">
        <v>79.355948999999995</v>
      </c>
      <c r="J126" s="25">
        <v>27.253485000000001</v>
      </c>
      <c r="K126" s="25">
        <v>28.505198</v>
      </c>
      <c r="L126" s="25">
        <v>24325.619140999999</v>
      </c>
      <c r="Z126" s="24">
        <v>43983</v>
      </c>
      <c r="AA126" s="26">
        <v>121</v>
      </c>
      <c r="AB126" s="25">
        <f t="shared" si="12"/>
        <v>0.80788311490149667</v>
      </c>
      <c r="AC126" s="25">
        <f t="shared" si="13"/>
        <v>0.80957721672033811</v>
      </c>
      <c r="AD126" s="25">
        <f t="shared" si="14"/>
        <v>0.90432689546360479</v>
      </c>
      <c r="AE126" s="25">
        <f t="shared" si="15"/>
        <v>1.0829633113242112</v>
      </c>
      <c r="AF126" s="25">
        <f t="shared" si="16"/>
        <v>0.89743884223771309</v>
      </c>
      <c r="AH126" s="25">
        <f t="shared" si="17"/>
        <v>1.285506616005419E-2</v>
      </c>
      <c r="AI126" s="25">
        <f t="shared" si="17"/>
        <v>1.1565279015774449E-2</v>
      </c>
      <c r="AJ126" s="25">
        <f t="shared" si="17"/>
        <v>5.5388280265955825E-3</v>
      </c>
      <c r="AK126" s="25">
        <f t="shared" si="17"/>
        <v>-5.9760853460835706E-3</v>
      </c>
      <c r="AL126" s="25">
        <f t="shared" si="18"/>
        <v>1.1038386837695313E-2</v>
      </c>
    </row>
    <row r="127" spans="1:38" x14ac:dyDescent="0.2">
      <c r="A127" s="24">
        <v>43986</v>
      </c>
      <c r="B127" s="25">
        <v>43.542034000000001</v>
      </c>
      <c r="C127" s="25">
        <v>67.341285999999997</v>
      </c>
      <c r="D127" s="25">
        <v>10.444573</v>
      </c>
      <c r="E127" s="25">
        <v>34.671871000000003</v>
      </c>
      <c r="F127" s="25">
        <v>35.319969</v>
      </c>
      <c r="G127" s="25">
        <v>109.15134399999999</v>
      </c>
      <c r="H127" s="25">
        <v>23.384316999999999</v>
      </c>
      <c r="I127" s="25">
        <v>79.108345</v>
      </c>
      <c r="J127" s="25">
        <v>27.221267999999998</v>
      </c>
      <c r="K127" s="25">
        <v>28.407464999999998</v>
      </c>
      <c r="L127" s="25">
        <v>24366.300781000002</v>
      </c>
      <c r="Z127" s="24">
        <v>43984</v>
      </c>
      <c r="AA127" s="26">
        <v>122</v>
      </c>
      <c r="AB127" s="25">
        <f t="shared" si="12"/>
        <v>0.81833554519396412</v>
      </c>
      <c r="AC127" s="25">
        <f t="shared" si="13"/>
        <v>0.81899455522189324</v>
      </c>
      <c r="AD127" s="25">
        <f t="shared" si="14"/>
        <v>0.90934970401272353</v>
      </c>
      <c r="AE127" s="25">
        <f t="shared" si="15"/>
        <v>1.0765107299413128</v>
      </c>
      <c r="AF127" s="25">
        <f t="shared" si="16"/>
        <v>0.90739999573063368</v>
      </c>
      <c r="AH127" s="25">
        <f t="shared" si="17"/>
        <v>7.1301526029021733E-3</v>
      </c>
      <c r="AI127" s="25">
        <f t="shared" si="17"/>
        <v>6.3900955303811402E-3</v>
      </c>
      <c r="AJ127" s="25">
        <f t="shared" si="17"/>
        <v>-1.8558045318171346E-3</v>
      </c>
      <c r="AK127" s="25">
        <f t="shared" si="17"/>
        <v>-1.6059570673480315E-2</v>
      </c>
      <c r="AL127" s="25">
        <f t="shared" si="18"/>
        <v>1.3645454040108973E-2</v>
      </c>
    </row>
    <row r="128" spans="1:38" x14ac:dyDescent="0.2">
      <c r="A128" s="24">
        <v>43987</v>
      </c>
      <c r="B128" s="25">
        <v>45.494213000000002</v>
      </c>
      <c r="C128" s="25">
        <v>67.774062999999998</v>
      </c>
      <c r="D128" s="25">
        <v>10.663147</v>
      </c>
      <c r="E128" s="25">
        <v>36.144413</v>
      </c>
      <c r="F128" s="25">
        <v>35.965083999999997</v>
      </c>
      <c r="G128" s="25">
        <v>118.371681</v>
      </c>
      <c r="H128" s="25">
        <v>24.285219000000001</v>
      </c>
      <c r="I128" s="25">
        <v>82.327147999999994</v>
      </c>
      <c r="J128" s="25">
        <v>28.703135</v>
      </c>
      <c r="K128" s="25">
        <v>30.166651000000002</v>
      </c>
      <c r="L128" s="25">
        <v>24770.410156000002</v>
      </c>
      <c r="Z128" s="24">
        <v>43985</v>
      </c>
      <c r="AA128" s="26">
        <v>123</v>
      </c>
      <c r="AB128" s="25">
        <f t="shared" si="12"/>
        <v>0.82419125375116831</v>
      </c>
      <c r="AC128" s="25">
        <f t="shared" si="13"/>
        <v>0.82424476547588077</v>
      </c>
      <c r="AD128" s="25">
        <f t="shared" si="14"/>
        <v>0.90766369364773458</v>
      </c>
      <c r="AE128" s="25">
        <f t="shared" si="15"/>
        <v>1.0593605109691109</v>
      </c>
      <c r="AF128" s="25">
        <f t="shared" si="16"/>
        <v>0.91986674445158345</v>
      </c>
      <c r="AH128" s="25">
        <f t="shared" si="17"/>
        <v>-3.0500601076066669E-4</v>
      </c>
      <c r="AI128" s="25">
        <f t="shared" si="17"/>
        <v>-2.9345707028663459E-4</v>
      </c>
      <c r="AJ128" s="25">
        <f t="shared" si="17"/>
        <v>-5.5922221699222785E-3</v>
      </c>
      <c r="AK128" s="25">
        <f t="shared" si="17"/>
        <v>-1.3293969456807789E-2</v>
      </c>
      <c r="AL128" s="25">
        <f t="shared" si="18"/>
        <v>1.6709815316797716E-3</v>
      </c>
    </row>
    <row r="129" spans="1:38" x14ac:dyDescent="0.2">
      <c r="A129" s="24">
        <v>43990</v>
      </c>
      <c r="B129" s="25">
        <v>46.130791000000002</v>
      </c>
      <c r="C129" s="25">
        <v>67.471100000000007</v>
      </c>
      <c r="D129" s="25">
        <v>10.694368000000001</v>
      </c>
      <c r="E129" s="25">
        <v>36.590645000000002</v>
      </c>
      <c r="F129" s="25">
        <v>36.045723000000002</v>
      </c>
      <c r="G129" s="25">
        <v>122.411041</v>
      </c>
      <c r="H129" s="25">
        <v>24.676915999999999</v>
      </c>
      <c r="I129" s="25">
        <v>82.946151999999998</v>
      </c>
      <c r="J129" s="25">
        <v>29.121925000000001</v>
      </c>
      <c r="K129" s="25">
        <v>30.524996000000002</v>
      </c>
      <c r="L129" s="25">
        <v>24776.769531000002</v>
      </c>
      <c r="Z129" s="24">
        <v>43986</v>
      </c>
      <c r="AA129" s="26">
        <v>124</v>
      </c>
      <c r="AB129" s="25">
        <f t="shared" si="12"/>
        <v>0.82393990879756718</v>
      </c>
      <c r="AC129" s="25">
        <f t="shared" si="13"/>
        <v>0.8240029205090984</v>
      </c>
      <c r="AD129" s="25">
        <f t="shared" si="14"/>
        <v>0.90260200285816905</v>
      </c>
      <c r="AE129" s="25">
        <f t="shared" si="15"/>
        <v>1.0453706014428592</v>
      </c>
      <c r="AF129" s="25">
        <f t="shared" si="16"/>
        <v>0.92140510972520073</v>
      </c>
      <c r="AH129" s="25">
        <f t="shared" si="17"/>
        <v>4.1623352685000975E-2</v>
      </c>
      <c r="AI129" s="25">
        <f t="shared" si="17"/>
        <v>3.8132263302009639E-2</v>
      </c>
      <c r="AJ129" s="25">
        <f t="shared" si="17"/>
        <v>2.0524200879218968E-2</v>
      </c>
      <c r="AK129" s="25">
        <f t="shared" si="17"/>
        <v>-1.4868503396854398E-2</v>
      </c>
      <c r="AL129" s="25">
        <f t="shared" si="18"/>
        <v>1.6448739795851708E-2</v>
      </c>
    </row>
    <row r="130" spans="1:38" x14ac:dyDescent="0.2">
      <c r="A130" s="24">
        <v>43991</v>
      </c>
      <c r="B130" s="25">
        <v>47.022002999999998</v>
      </c>
      <c r="C130" s="25">
        <v>67.860625999999996</v>
      </c>
      <c r="D130" s="25">
        <v>10.720571</v>
      </c>
      <c r="E130" s="25">
        <v>36.010548</v>
      </c>
      <c r="F130" s="25">
        <v>36.610207000000003</v>
      </c>
      <c r="G130" s="25">
        <v>121.620743</v>
      </c>
      <c r="H130" s="25">
        <v>25.381972999999999</v>
      </c>
      <c r="I130" s="25">
        <v>84.844414</v>
      </c>
      <c r="J130" s="25">
        <v>29.895073</v>
      </c>
      <c r="K130" s="25">
        <v>30.524996000000002</v>
      </c>
      <c r="L130" s="25">
        <v>25057.220702999999</v>
      </c>
      <c r="Z130" s="24">
        <v>43987</v>
      </c>
      <c r="AA130" s="26">
        <v>125</v>
      </c>
      <c r="AB130" s="25">
        <f t="shared" si="12"/>
        <v>0.85895879624811677</v>
      </c>
      <c r="AC130" s="25">
        <f t="shared" si="13"/>
        <v>0.85603078348675254</v>
      </c>
      <c r="AD130" s="25">
        <f t="shared" si="14"/>
        <v>0.9213186022872274</v>
      </c>
      <c r="AE130" s="25">
        <f t="shared" si="15"/>
        <v>1.0299424858255555</v>
      </c>
      <c r="AF130" s="25">
        <f t="shared" si="16"/>
        <v>0.9366863970391619</v>
      </c>
      <c r="AH130" s="25">
        <f t="shared" si="17"/>
        <v>1.1454215284763453E-2</v>
      </c>
      <c r="AI130" s="25">
        <f t="shared" si="17"/>
        <v>1.0225183833443979E-2</v>
      </c>
      <c r="AJ130" s="25">
        <f t="shared" si="17"/>
        <v>2.7295137144531384E-3</v>
      </c>
      <c r="AK130" s="25">
        <f t="shared" si="17"/>
        <v>-1.2638061910356449E-2</v>
      </c>
      <c r="AL130" s="25">
        <f t="shared" si="18"/>
        <v>2.566997788804315E-4</v>
      </c>
    </row>
    <row r="131" spans="1:38" x14ac:dyDescent="0.2">
      <c r="A131" s="24">
        <v>43992</v>
      </c>
      <c r="B131" s="25">
        <v>46.512737000000001</v>
      </c>
      <c r="C131" s="25">
        <v>67.600952000000007</v>
      </c>
      <c r="D131" s="25">
        <v>10.587187999999999</v>
      </c>
      <c r="E131" s="25">
        <v>35.475074999999997</v>
      </c>
      <c r="F131" s="25">
        <v>36.126362</v>
      </c>
      <c r="G131" s="25">
        <v>120.391373</v>
      </c>
      <c r="H131" s="25">
        <v>25.014707999999999</v>
      </c>
      <c r="I131" s="25">
        <v>84.596817000000001</v>
      </c>
      <c r="J131" s="25">
        <v>30.056146999999999</v>
      </c>
      <c r="K131" s="25">
        <v>30.622734000000001</v>
      </c>
      <c r="L131" s="25">
        <v>25049.730468999998</v>
      </c>
      <c r="Z131" s="24">
        <v>43990</v>
      </c>
      <c r="AA131" s="26">
        <v>126</v>
      </c>
      <c r="AB131" s="25">
        <f t="shared" si="12"/>
        <v>0.86885405826462581</v>
      </c>
      <c r="AC131" s="25">
        <f t="shared" si="13"/>
        <v>0.86482875942018622</v>
      </c>
      <c r="AD131" s="25">
        <f t="shared" si="14"/>
        <v>0.92383678919697843</v>
      </c>
      <c r="AE131" s="25">
        <f t="shared" si="15"/>
        <v>1.0170079150381186</v>
      </c>
      <c r="AF131" s="25">
        <f t="shared" si="16"/>
        <v>0.93692687509417416</v>
      </c>
      <c r="AH131" s="25">
        <f t="shared" si="17"/>
        <v>1.4496037862865241E-2</v>
      </c>
      <c r="AI131" s="25">
        <f t="shared" si="17"/>
        <v>1.2061202744440558E-2</v>
      </c>
      <c r="AJ131" s="25">
        <f t="shared" si="17"/>
        <v>1.3765826915919419E-2</v>
      </c>
      <c r="AK131" s="25">
        <f t="shared" si="17"/>
        <v>1.2165855519100127E-2</v>
      </c>
      <c r="AL131" s="25">
        <f t="shared" si="18"/>
        <v>1.1255535889141299E-2</v>
      </c>
    </row>
    <row r="132" spans="1:38" x14ac:dyDescent="0.2">
      <c r="A132" s="24">
        <v>43993</v>
      </c>
      <c r="B132" s="25">
        <v>44.730311999999998</v>
      </c>
      <c r="C132" s="25">
        <v>67.211449000000002</v>
      </c>
      <c r="D132" s="25">
        <v>10.437135</v>
      </c>
      <c r="E132" s="25">
        <v>33.779407999999997</v>
      </c>
      <c r="F132" s="25">
        <v>35.965083999999997</v>
      </c>
      <c r="G132" s="25">
        <v>115.649483</v>
      </c>
      <c r="H132" s="25">
        <v>24.239376</v>
      </c>
      <c r="I132" s="25">
        <v>82.120811000000003</v>
      </c>
      <c r="J132" s="25">
        <v>29.315211999999999</v>
      </c>
      <c r="K132" s="25">
        <v>29.547671999999999</v>
      </c>
      <c r="L132" s="25">
        <v>24480.150390999999</v>
      </c>
      <c r="Z132" s="24">
        <v>43991</v>
      </c>
      <c r="AA132" s="26">
        <v>127</v>
      </c>
      <c r="AB132" s="25">
        <f t="shared" si="12"/>
        <v>0.88154073067349592</v>
      </c>
      <c r="AC132" s="25">
        <f t="shared" si="13"/>
        <v>0.8753227925414252</v>
      </c>
      <c r="AD132" s="25">
        <f t="shared" si="14"/>
        <v>0.93664210218225108</v>
      </c>
      <c r="AE132" s="25">
        <f t="shared" si="15"/>
        <v>1.0294562552107591</v>
      </c>
      <c r="AF132" s="25">
        <f t="shared" si="16"/>
        <v>0.94753206072459684</v>
      </c>
      <c r="AH132" s="25">
        <f t="shared" si="17"/>
        <v>-4.4321411159286839E-3</v>
      </c>
      <c r="AI132" s="25">
        <f t="shared" si="17"/>
        <v>-6.1811884645212312E-3</v>
      </c>
      <c r="AJ132" s="25">
        <f t="shared" si="17"/>
        <v>-8.343353919804869E-3</v>
      </c>
      <c r="AK132" s="25">
        <f t="shared" si="17"/>
        <v>-1.5760068839605214E-2</v>
      </c>
      <c r="AL132" s="25">
        <f t="shared" si="18"/>
        <v>-2.9896985869548587E-4</v>
      </c>
    </row>
    <row r="133" spans="1:38" x14ac:dyDescent="0.2">
      <c r="A133" s="24">
        <v>43994</v>
      </c>
      <c r="B133" s="25">
        <v>44.178612000000001</v>
      </c>
      <c r="C133" s="25">
        <v>67.557677999999996</v>
      </c>
      <c r="D133" s="25">
        <v>10.453806</v>
      </c>
      <c r="E133" s="25">
        <v>33.288563000000003</v>
      </c>
      <c r="F133" s="25">
        <v>35.723166999999997</v>
      </c>
      <c r="G133" s="25">
        <v>113.717598</v>
      </c>
      <c r="H133" s="25">
        <v>24.116955000000001</v>
      </c>
      <c r="I133" s="25">
        <v>82.781081999999998</v>
      </c>
      <c r="J133" s="25">
        <v>29.766214000000002</v>
      </c>
      <c r="K133" s="25">
        <v>29.059013</v>
      </c>
      <c r="L133" s="25">
        <v>24301.380859000001</v>
      </c>
      <c r="Z133" s="24">
        <v>43992</v>
      </c>
      <c r="AA133" s="26">
        <v>128</v>
      </c>
      <c r="AB133" s="25">
        <f t="shared" si="12"/>
        <v>0.87764226341597085</v>
      </c>
      <c r="AC133" s="25">
        <f t="shared" si="13"/>
        <v>0.86992894476186455</v>
      </c>
      <c r="AD133" s="25">
        <f t="shared" si="14"/>
        <v>0.92885987570679351</v>
      </c>
      <c r="AE133" s="25">
        <f t="shared" si="15"/>
        <v>1.013359132821678</v>
      </c>
      <c r="AF133" s="25">
        <f t="shared" si="16"/>
        <v>0.94724881954069018</v>
      </c>
      <c r="AH133" s="25">
        <f t="shared" si="17"/>
        <v>-2.5569145670962634E-2</v>
      </c>
      <c r="AI133" s="25">
        <f t="shared" si="17"/>
        <v>-2.4324179153216496E-2</v>
      </c>
      <c r="AJ133" s="25">
        <f t="shared" si="17"/>
        <v>-1.0129979676625225E-2</v>
      </c>
      <c r="AK133" s="25">
        <f t="shared" ref="AK133:AK196" si="19">LN(AE134)-LN(AE133)</f>
        <v>1.6544726103758872E-2</v>
      </c>
      <c r="AL133" s="25">
        <f t="shared" si="18"/>
        <v>-2.3000466703971156E-2</v>
      </c>
    </row>
    <row r="134" spans="1:38" x14ac:dyDescent="0.2">
      <c r="A134" s="24">
        <v>43997</v>
      </c>
      <c r="B134" s="25">
        <v>42.905456999999998</v>
      </c>
      <c r="C134" s="25">
        <v>66.216048999999998</v>
      </c>
      <c r="D134" s="25">
        <v>10.170369000000001</v>
      </c>
      <c r="E134" s="25">
        <v>32.574596</v>
      </c>
      <c r="F134" s="25">
        <v>34.876452999999998</v>
      </c>
      <c r="G134" s="25">
        <v>113.54199199999999</v>
      </c>
      <c r="H134" s="25">
        <v>23.831306000000001</v>
      </c>
      <c r="I134" s="25">
        <v>80.552681000000007</v>
      </c>
      <c r="J134" s="25">
        <v>29.186358999999999</v>
      </c>
      <c r="K134" s="25">
        <v>28.472619999999999</v>
      </c>
      <c r="L134" s="25">
        <v>23776.949218999998</v>
      </c>
      <c r="Z134" s="24">
        <v>43993</v>
      </c>
      <c r="AA134" s="26">
        <v>129</v>
      </c>
      <c r="AB134" s="25">
        <f t="shared" ref="AB134:AB197" si="20">SUMPRODUCT(O$3:X$3,B132:K132)/SUMPRODUCT(O$3:X$3,B$3:K$3)</f>
        <v>0.85548616389409282</v>
      </c>
      <c r="AC134" s="25">
        <f t="shared" ref="AC134:AC197" si="21">SUMPRODUCT(O$7:X$7,B132:K132)/SUMPRODUCT(O$7:X$7,B$3:K$3)</f>
        <v>0.84902391680369171</v>
      </c>
      <c r="AD134" s="25">
        <f t="shared" ref="AD134:AD197" si="22">SUMPRODUCT(O$11:X$11,B132:K132)/SUMPRODUCT(O$11:X$11,B$3:K$3)</f>
        <v>0.91949804169400107</v>
      </c>
      <c r="AE134" s="25">
        <f t="shared" ref="AE134:AE197" si="23">SUMPRODUCT(O$15:X$15,B132:K132)/SUMPRODUCT(O$15:X$15,B$3:K$3)</f>
        <v>1.030264342533872</v>
      </c>
      <c r="AF134" s="25">
        <f t="shared" ref="AF134:AF197" si="24">L132/L$3</f>
        <v>0.92571030210286431</v>
      </c>
      <c r="AH134" s="25">
        <f t="shared" ref="AH134:AK197" si="25">LN(AB135)-LN(AB134)</f>
        <v>1.8573956481591214E-3</v>
      </c>
      <c r="AI134" s="25">
        <f t="shared" si="25"/>
        <v>-1.9476559563266771E-4</v>
      </c>
      <c r="AJ134" s="25">
        <f t="shared" si="25"/>
        <v>1.1831000142168979E-3</v>
      </c>
      <c r="AK134" s="25">
        <f t="shared" si="19"/>
        <v>-1.3966584757009112E-3</v>
      </c>
      <c r="AL134" s="25">
        <f t="shared" ref="AL134:AL197" si="26">LN(L133)-LN(L132)</f>
        <v>-7.3294268432100296E-3</v>
      </c>
    </row>
    <row r="135" spans="1:38" x14ac:dyDescent="0.2">
      <c r="A135" s="24">
        <v>43998</v>
      </c>
      <c r="B135" s="25">
        <v>43.966419000000002</v>
      </c>
      <c r="C135" s="25">
        <v>66.562263000000002</v>
      </c>
      <c r="D135" s="25">
        <v>10.270405999999999</v>
      </c>
      <c r="E135" s="25">
        <v>33.377803999999998</v>
      </c>
      <c r="F135" s="25">
        <v>35.319969</v>
      </c>
      <c r="G135" s="25">
        <v>114.946968</v>
      </c>
      <c r="H135" s="25">
        <v>24.320988</v>
      </c>
      <c r="I135" s="25">
        <v>81.501816000000005</v>
      </c>
      <c r="J135" s="25">
        <v>29.572932999999999</v>
      </c>
      <c r="K135" s="25">
        <v>28.733239999999999</v>
      </c>
      <c r="L135" s="25">
        <v>24344.089843999998</v>
      </c>
      <c r="Z135" s="24">
        <v>43994</v>
      </c>
      <c r="AA135" s="26">
        <v>130</v>
      </c>
      <c r="AB135" s="25">
        <f t="shared" si="20"/>
        <v>0.85707661676484603</v>
      </c>
      <c r="AC135" s="25">
        <f t="shared" si="21"/>
        <v>0.84885857225706629</v>
      </c>
      <c r="AD135" s="25">
        <f t="shared" si="22"/>
        <v>0.92058654361655468</v>
      </c>
      <c r="AE135" s="25">
        <f t="shared" si="23"/>
        <v>1.0288264194851073</v>
      </c>
      <c r="AF135" s="25">
        <f t="shared" si="24"/>
        <v>0.91895018033762599</v>
      </c>
      <c r="AH135" s="25">
        <f t="shared" si="25"/>
        <v>-2.0175491381461907E-2</v>
      </c>
      <c r="AI135" s="25">
        <f t="shared" si="25"/>
        <v>-2.0611313516091134E-2</v>
      </c>
      <c r="AJ135" s="25">
        <f t="shared" si="25"/>
        <v>-2.3328478335456676E-2</v>
      </c>
      <c r="AK135" s="25">
        <f t="shared" si="19"/>
        <v>-2.9451316239834501E-2</v>
      </c>
      <c r="AL135" s="25">
        <f t="shared" si="26"/>
        <v>-2.1816583056654792E-2</v>
      </c>
    </row>
    <row r="136" spans="1:38" x14ac:dyDescent="0.2">
      <c r="A136" s="24">
        <v>43999</v>
      </c>
      <c r="B136" s="25">
        <v>44.433242999999997</v>
      </c>
      <c r="C136" s="25">
        <v>66.562263000000002</v>
      </c>
      <c r="D136" s="25">
        <v>10.237062</v>
      </c>
      <c r="E136" s="25">
        <v>33.645541999999999</v>
      </c>
      <c r="F136" s="25">
        <v>35.279654999999998</v>
      </c>
      <c r="G136" s="25">
        <v>117.05450399999999</v>
      </c>
      <c r="H136" s="25">
        <v>24.688253</v>
      </c>
      <c r="I136" s="25">
        <v>82.781081999999998</v>
      </c>
      <c r="J136" s="25">
        <v>29.798428000000001</v>
      </c>
      <c r="K136" s="25">
        <v>28.602931999999999</v>
      </c>
      <c r="L136" s="25">
        <v>24481.410156000002</v>
      </c>
      <c r="Z136" s="24">
        <v>43997</v>
      </c>
      <c r="AA136" s="26">
        <v>131</v>
      </c>
      <c r="AB136" s="25">
        <f t="shared" si="20"/>
        <v>0.83995794436017523</v>
      </c>
      <c r="AC136" s="25">
        <f t="shared" si="21"/>
        <v>0.83154155835067312</v>
      </c>
      <c r="AD136" s="25">
        <f t="shared" si="22"/>
        <v>0.8993592235973743</v>
      </c>
      <c r="AE136" s="25">
        <f t="shared" si="23"/>
        <v>0.99896797074441146</v>
      </c>
      <c r="AF136" s="25">
        <f t="shared" si="24"/>
        <v>0.89911893893826011</v>
      </c>
      <c r="AH136" s="25">
        <f t="shared" si="25"/>
        <v>1.3692765572743903E-2</v>
      </c>
      <c r="AI136" s="25">
        <f t="shared" si="25"/>
        <v>1.3667563164297208E-2</v>
      </c>
      <c r="AJ136" s="25">
        <f t="shared" si="25"/>
        <v>1.04519238497362E-2</v>
      </c>
      <c r="AK136" s="25">
        <f t="shared" si="19"/>
        <v>5.4749507898970351E-3</v>
      </c>
      <c r="AL136" s="25">
        <f t="shared" si="26"/>
        <v>2.3572512040647808E-2</v>
      </c>
    </row>
    <row r="137" spans="1:38" x14ac:dyDescent="0.2">
      <c r="A137" s="24">
        <v>44000</v>
      </c>
      <c r="B137" s="25">
        <v>43.923980999999998</v>
      </c>
      <c r="C137" s="25">
        <v>66.821938000000003</v>
      </c>
      <c r="D137" s="25">
        <v>10.237062</v>
      </c>
      <c r="E137" s="25">
        <v>33.110073</v>
      </c>
      <c r="F137" s="25">
        <v>35.561889999999998</v>
      </c>
      <c r="G137" s="25">
        <v>117.05450399999999</v>
      </c>
      <c r="H137" s="25">
        <v>24.810675</v>
      </c>
      <c r="I137" s="25">
        <v>83.358817999999999</v>
      </c>
      <c r="J137" s="25">
        <v>29.701785999999998</v>
      </c>
      <c r="K137" s="25">
        <v>28.700665000000001</v>
      </c>
      <c r="L137" s="25">
        <v>24464.939452999999</v>
      </c>
      <c r="Z137" s="24">
        <v>43998</v>
      </c>
      <c r="AA137" s="26">
        <v>132</v>
      </c>
      <c r="AB137" s="25">
        <f t="shared" si="20"/>
        <v>0.85153839484402594</v>
      </c>
      <c r="AC137" s="25">
        <f t="shared" si="21"/>
        <v>0.84298472710543082</v>
      </c>
      <c r="AD137" s="25">
        <f t="shared" si="22"/>
        <v>0.90880855353204681</v>
      </c>
      <c r="AE137" s="25">
        <f t="shared" si="23"/>
        <v>1.0044522706616457</v>
      </c>
      <c r="AF137" s="25">
        <f t="shared" si="24"/>
        <v>0.92056520911708106</v>
      </c>
      <c r="AH137" s="25">
        <f t="shared" si="25"/>
        <v>7.1153772672157001E-3</v>
      </c>
      <c r="AI137" s="25">
        <f t="shared" si="25"/>
        <v>6.1296081453493523E-3</v>
      </c>
      <c r="AJ137" s="25">
        <f t="shared" si="25"/>
        <v>9.4154214292282989E-4</v>
      </c>
      <c r="AK137" s="25">
        <f t="shared" si="19"/>
        <v>-1.045359036334006E-2</v>
      </c>
      <c r="AL137" s="25">
        <f t="shared" si="26"/>
        <v>5.6249572075799392E-3</v>
      </c>
    </row>
    <row r="138" spans="1:38" x14ac:dyDescent="0.2">
      <c r="A138" s="24">
        <v>44001</v>
      </c>
      <c r="B138" s="25">
        <v>43.966419000000002</v>
      </c>
      <c r="C138" s="25">
        <v>67.081596000000005</v>
      </c>
      <c r="D138" s="25">
        <v>10.187042999999999</v>
      </c>
      <c r="E138" s="25">
        <v>33.333182999999998</v>
      </c>
      <c r="F138" s="25">
        <v>35.561889999999998</v>
      </c>
      <c r="G138" s="25">
        <v>118.81076</v>
      </c>
      <c r="H138" s="25">
        <v>25.259550000000001</v>
      </c>
      <c r="I138" s="25">
        <v>85.174544999999995</v>
      </c>
      <c r="J138" s="25">
        <v>30.893726000000001</v>
      </c>
      <c r="K138" s="25">
        <v>30.134070999999999</v>
      </c>
      <c r="L138" s="25">
        <v>24643.890625</v>
      </c>
      <c r="Z138" s="24">
        <v>43999</v>
      </c>
      <c r="AA138" s="26">
        <v>133</v>
      </c>
      <c r="AB138" s="25">
        <f t="shared" si="20"/>
        <v>0.85761901909420768</v>
      </c>
      <c r="AC138" s="25">
        <f t="shared" si="21"/>
        <v>0.84816776191317567</v>
      </c>
      <c r="AD138" s="25">
        <f t="shared" si="22"/>
        <v>0.90966463804162445</v>
      </c>
      <c r="AE138" s="25">
        <f t="shared" si="23"/>
        <v>0.994006829387591</v>
      </c>
      <c r="AF138" s="25">
        <f t="shared" si="24"/>
        <v>0.92575793977747434</v>
      </c>
      <c r="AH138" s="25">
        <f t="shared" si="25"/>
        <v>-6.4330482601906991E-4</v>
      </c>
      <c r="AI138" s="25">
        <f t="shared" si="25"/>
        <v>-4.5481852663056821E-4</v>
      </c>
      <c r="AJ138" s="25">
        <f t="shared" si="25"/>
        <v>3.8778168694240944E-3</v>
      </c>
      <c r="AK138" s="25">
        <f t="shared" si="19"/>
        <v>1.141184635688669E-2</v>
      </c>
      <c r="AL138" s="25">
        <f t="shared" si="26"/>
        <v>-6.7301050040668997E-4</v>
      </c>
    </row>
    <row r="139" spans="1:38" x14ac:dyDescent="0.2">
      <c r="A139" s="24">
        <v>44004</v>
      </c>
      <c r="B139" s="25">
        <v>43.457160999999999</v>
      </c>
      <c r="C139" s="25">
        <v>65.566849000000005</v>
      </c>
      <c r="D139" s="25">
        <v>10.053660000000001</v>
      </c>
      <c r="E139" s="25">
        <v>32.753093999999997</v>
      </c>
      <c r="F139" s="25">
        <v>35.118381999999997</v>
      </c>
      <c r="G139" s="25">
        <v>117.581345</v>
      </c>
      <c r="H139" s="25">
        <v>24.729061000000002</v>
      </c>
      <c r="I139" s="25">
        <v>83.606430000000003</v>
      </c>
      <c r="J139" s="25">
        <v>30.829294000000001</v>
      </c>
      <c r="K139" s="25">
        <v>29.449940000000002</v>
      </c>
      <c r="L139" s="25">
        <v>24511.339843999998</v>
      </c>
      <c r="Z139" s="24">
        <v>44000</v>
      </c>
      <c r="AA139" s="26">
        <v>134</v>
      </c>
      <c r="AB139" s="25">
        <f t="shared" si="20"/>
        <v>0.85706748606129013</v>
      </c>
      <c r="AC139" s="25">
        <f t="shared" si="21"/>
        <v>0.84778208721401438</v>
      </c>
      <c r="AD139" s="25">
        <f t="shared" si="22"/>
        <v>0.91319899929440052</v>
      </c>
      <c r="AE139" s="25">
        <f t="shared" si="23"/>
        <v>1.0054152543890142</v>
      </c>
      <c r="AF139" s="25">
        <f t="shared" si="24"/>
        <v>0.92513510457399517</v>
      </c>
      <c r="AH139" s="25">
        <f t="shared" si="25"/>
        <v>2.016595591559639E-2</v>
      </c>
      <c r="AI139" s="25">
        <f t="shared" si="25"/>
        <v>1.5867911859219236E-2</v>
      </c>
      <c r="AJ139" s="25">
        <f t="shared" si="25"/>
        <v>4.6424583182813339E-3</v>
      </c>
      <c r="AK139" s="25">
        <f t="shared" si="19"/>
        <v>-2.3982699790339495E-2</v>
      </c>
      <c r="AL139" s="25">
        <f t="shared" si="26"/>
        <v>7.2879750460934645E-3</v>
      </c>
    </row>
    <row r="140" spans="1:38" x14ac:dyDescent="0.2">
      <c r="A140" s="24">
        <v>44005</v>
      </c>
      <c r="B140" s="25">
        <v>43.202530000000003</v>
      </c>
      <c r="C140" s="25">
        <v>66.951767000000004</v>
      </c>
      <c r="D140" s="25">
        <v>10.187042999999999</v>
      </c>
      <c r="E140" s="25">
        <v>33.422427999999996</v>
      </c>
      <c r="F140" s="25">
        <v>35.360294000000003</v>
      </c>
      <c r="G140" s="25">
        <v>118.28388200000001</v>
      </c>
      <c r="H140" s="25">
        <v>24.810675</v>
      </c>
      <c r="I140" s="25">
        <v>83.854011999999997</v>
      </c>
      <c r="J140" s="25">
        <v>31.328619</v>
      </c>
      <c r="K140" s="25">
        <v>29.091591000000001</v>
      </c>
      <c r="L140" s="25">
        <v>24907.339843999998</v>
      </c>
      <c r="Z140" s="24">
        <v>44001</v>
      </c>
      <c r="AA140" s="26">
        <v>135</v>
      </c>
      <c r="AB140" s="25">
        <f t="shared" si="20"/>
        <v>0.87452651858003405</v>
      </c>
      <c r="AC140" s="25">
        <f t="shared" si="21"/>
        <v>0.86134191722482256</v>
      </c>
      <c r="AD140" s="25">
        <f t="shared" si="22"/>
        <v>0.91744834365498984</v>
      </c>
      <c r="AE140" s="25">
        <f t="shared" si="23"/>
        <v>0.98158952679032907</v>
      </c>
      <c r="AF140" s="25">
        <f t="shared" si="24"/>
        <v>0.93190209500697407</v>
      </c>
      <c r="AH140" s="25">
        <f t="shared" si="25"/>
        <v>-1.1652720104476932E-2</v>
      </c>
      <c r="AI140" s="25">
        <f t="shared" si="25"/>
        <v>-1.2807897090284209E-2</v>
      </c>
      <c r="AJ140" s="25">
        <f t="shared" si="25"/>
        <v>-1.3972592551796226E-2</v>
      </c>
      <c r="AK140" s="25">
        <f t="shared" si="19"/>
        <v>-1.8134636002183971E-2</v>
      </c>
      <c r="AL140" s="25">
        <f t="shared" si="26"/>
        <v>-5.3931636986952469E-3</v>
      </c>
    </row>
    <row r="141" spans="1:38" x14ac:dyDescent="0.2">
      <c r="A141" s="24">
        <v>44006</v>
      </c>
      <c r="B141" s="25">
        <v>42.990333999999997</v>
      </c>
      <c r="C141" s="25">
        <v>66.475707999999997</v>
      </c>
      <c r="D141" s="25">
        <v>10.087008000000001</v>
      </c>
      <c r="E141" s="25">
        <v>33.020820999999998</v>
      </c>
      <c r="F141" s="25">
        <v>34.997421000000003</v>
      </c>
      <c r="G141" s="25">
        <v>118.02040100000001</v>
      </c>
      <c r="H141" s="25">
        <v>24.484219</v>
      </c>
      <c r="I141" s="25">
        <v>82.863617000000005</v>
      </c>
      <c r="J141" s="25">
        <v>30.966204000000001</v>
      </c>
      <c r="K141" s="25">
        <v>28.342313999999998</v>
      </c>
      <c r="L141" s="25">
        <v>24781.580077999999</v>
      </c>
      <c r="Z141" s="24">
        <v>44004</v>
      </c>
      <c r="AA141" s="26">
        <v>136</v>
      </c>
      <c r="AB141" s="25">
        <f t="shared" si="20"/>
        <v>0.86439505006080541</v>
      </c>
      <c r="AC141" s="25">
        <f t="shared" si="21"/>
        <v>0.8503802861579044</v>
      </c>
      <c r="AD141" s="25">
        <f t="shared" si="22"/>
        <v>0.90471835434785675</v>
      </c>
      <c r="AE141" s="25">
        <f t="shared" si="23"/>
        <v>0.96394919198189377</v>
      </c>
      <c r="AF141" s="25">
        <f t="shared" si="24"/>
        <v>0.92688972287838645</v>
      </c>
      <c r="AH141" s="25">
        <f t="shared" si="25"/>
        <v>1.0363675424718083E-2</v>
      </c>
      <c r="AI141" s="25">
        <f t="shared" si="25"/>
        <v>1.0314621025982074E-2</v>
      </c>
      <c r="AJ141" s="25">
        <f t="shared" si="25"/>
        <v>1.1621445155961946E-2</v>
      </c>
      <c r="AK141" s="25">
        <f t="shared" si="19"/>
        <v>1.2979207275570004E-2</v>
      </c>
      <c r="AL141" s="25">
        <f t="shared" si="26"/>
        <v>1.6026671641274248E-2</v>
      </c>
    </row>
    <row r="142" spans="1:38" x14ac:dyDescent="0.2">
      <c r="A142" s="24">
        <v>44008</v>
      </c>
      <c r="B142" s="25">
        <v>42.311317000000003</v>
      </c>
      <c r="C142" s="25">
        <v>65.913077999999999</v>
      </c>
      <c r="D142" s="25">
        <v>10.003641</v>
      </c>
      <c r="E142" s="25">
        <v>32.753093999999997</v>
      </c>
      <c r="F142" s="25">
        <v>34.957096</v>
      </c>
      <c r="G142" s="25">
        <v>116.439781</v>
      </c>
      <c r="H142" s="25">
        <v>24.157761000000001</v>
      </c>
      <c r="I142" s="25">
        <v>82.327147999999994</v>
      </c>
      <c r="J142" s="25">
        <v>30.845402</v>
      </c>
      <c r="K142" s="25">
        <v>27.951384000000001</v>
      </c>
      <c r="L142" s="25">
        <v>24549.990234000001</v>
      </c>
      <c r="Z142" s="24">
        <v>44005</v>
      </c>
      <c r="AA142" s="26">
        <v>137</v>
      </c>
      <c r="AB142" s="25">
        <f t="shared" si="20"/>
        <v>0.87339994108431085</v>
      </c>
      <c r="AC142" s="25">
        <f t="shared" si="21"/>
        <v>0.85919702904972761</v>
      </c>
      <c r="AD142" s="25">
        <f t="shared" si="22"/>
        <v>0.91529382116346314</v>
      </c>
      <c r="AE142" s="25">
        <f t="shared" si="23"/>
        <v>0.97654203412006302</v>
      </c>
      <c r="AF142" s="25">
        <f t="shared" si="24"/>
        <v>0.94186435635806909</v>
      </c>
      <c r="AH142" s="25">
        <f t="shared" si="25"/>
        <v>-1.0581102012870769E-2</v>
      </c>
      <c r="AI142" s="25">
        <f t="shared" si="25"/>
        <v>-1.0250216388440064E-2</v>
      </c>
      <c r="AJ142" s="25">
        <f t="shared" si="25"/>
        <v>-8.9686735648487059E-3</v>
      </c>
      <c r="AK142" s="25">
        <f t="shared" si="19"/>
        <v>-6.2041238420818788E-3</v>
      </c>
      <c r="AL142" s="25">
        <f t="shared" si="26"/>
        <v>-5.0618944715843384E-3</v>
      </c>
    </row>
    <row r="143" spans="1:38" x14ac:dyDescent="0.2">
      <c r="A143" s="24">
        <v>44011</v>
      </c>
      <c r="B143" s="25">
        <v>41.802047999999999</v>
      </c>
      <c r="C143" s="25">
        <v>65.350464000000002</v>
      </c>
      <c r="D143" s="25">
        <v>9.9702970000000004</v>
      </c>
      <c r="E143" s="25">
        <v>32.172989000000001</v>
      </c>
      <c r="F143" s="25">
        <v>34.513576999999998</v>
      </c>
      <c r="G143" s="25">
        <v>114.156662</v>
      </c>
      <c r="H143" s="25">
        <v>23.91292</v>
      </c>
      <c r="I143" s="25">
        <v>81.006621999999993</v>
      </c>
      <c r="J143" s="25">
        <v>29.597092</v>
      </c>
      <c r="K143" s="25">
        <v>26.648292999999999</v>
      </c>
      <c r="L143" s="25">
        <v>24301.279297000001</v>
      </c>
      <c r="Z143" s="24">
        <v>44006</v>
      </c>
      <c r="AA143" s="26">
        <v>138</v>
      </c>
      <c r="AB143" s="25">
        <f t="shared" si="20"/>
        <v>0.86420712802461852</v>
      </c>
      <c r="AC143" s="25">
        <f t="shared" si="21"/>
        <v>0.8504350563557157</v>
      </c>
      <c r="AD143" s="25">
        <f t="shared" si="22"/>
        <v>0.90712155165368558</v>
      </c>
      <c r="AE143" s="25">
        <f t="shared" si="23"/>
        <v>0.9705022017108399</v>
      </c>
      <c r="AF143" s="25">
        <f t="shared" si="24"/>
        <v>0.9371087846349867</v>
      </c>
      <c r="AH143" s="25">
        <f t="shared" si="25"/>
        <v>-7.5535786076527944E-3</v>
      </c>
      <c r="AI143" s="25">
        <f t="shared" si="25"/>
        <v>-7.6699914442458494E-3</v>
      </c>
      <c r="AJ143" s="25">
        <f t="shared" si="25"/>
        <v>-5.7520758358413637E-3</v>
      </c>
      <c r="AK143" s="25">
        <f t="shared" si="19"/>
        <v>-2.2961552845059373E-3</v>
      </c>
      <c r="AL143" s="25">
        <f t="shared" si="26"/>
        <v>-9.3891819734590598E-3</v>
      </c>
    </row>
    <row r="144" spans="1:38" x14ac:dyDescent="0.2">
      <c r="A144" s="24">
        <v>44012</v>
      </c>
      <c r="B144" s="25">
        <v>42.268878999999998</v>
      </c>
      <c r="C144" s="25">
        <v>65.783241000000004</v>
      </c>
      <c r="D144" s="25">
        <v>10.003641</v>
      </c>
      <c r="E144" s="25">
        <v>32.306865999999999</v>
      </c>
      <c r="F144" s="25">
        <v>33.989426000000002</v>
      </c>
      <c r="G144" s="25">
        <v>114.244499</v>
      </c>
      <c r="H144" s="25">
        <v>23.994532</v>
      </c>
      <c r="I144" s="25">
        <v>81.666893000000002</v>
      </c>
      <c r="J144" s="25">
        <v>29.637356</v>
      </c>
      <c r="K144" s="25">
        <v>26.778599</v>
      </c>
      <c r="L144" s="25">
        <v>24427.189452999999</v>
      </c>
      <c r="Z144" s="24">
        <v>44008</v>
      </c>
      <c r="AA144" s="26">
        <v>139</v>
      </c>
      <c r="AB144" s="25">
        <f t="shared" si="20"/>
        <v>0.85770386392918785</v>
      </c>
      <c r="AC144" s="25">
        <f t="shared" si="21"/>
        <v>0.84393717794065626</v>
      </c>
      <c r="AD144" s="25">
        <f t="shared" si="22"/>
        <v>0.90191869764694321</v>
      </c>
      <c r="AE144" s="25">
        <f t="shared" si="23"/>
        <v>0.96827633439821181</v>
      </c>
      <c r="AF144" s="25">
        <f t="shared" si="24"/>
        <v>0.92835127697964104</v>
      </c>
      <c r="AH144" s="25">
        <f t="shared" si="25"/>
        <v>-2.3656685472342287E-2</v>
      </c>
      <c r="AI144" s="25">
        <f t="shared" si="25"/>
        <v>-2.0542987808230523E-2</v>
      </c>
      <c r="AJ144" s="25">
        <f t="shared" si="25"/>
        <v>-1.2344245161166834E-2</v>
      </c>
      <c r="AK144" s="25">
        <f t="shared" si="19"/>
        <v>7.7068075069569378E-3</v>
      </c>
      <c r="AL144" s="25">
        <f t="shared" si="26"/>
        <v>-1.0182461512211916E-2</v>
      </c>
    </row>
    <row r="145" spans="1:38" x14ac:dyDescent="0.2">
      <c r="A145" s="24">
        <v>44014</v>
      </c>
      <c r="B145" s="25">
        <v>43.499592</v>
      </c>
      <c r="C145" s="25">
        <v>67.038321999999994</v>
      </c>
      <c r="D145" s="25">
        <v>10.087008000000001</v>
      </c>
      <c r="E145" s="25">
        <v>33.288563000000003</v>
      </c>
      <c r="F145" s="25">
        <v>35.279654999999998</v>
      </c>
      <c r="G145" s="25">
        <v>116.87886</v>
      </c>
      <c r="H145" s="25">
        <v>24.973901999999999</v>
      </c>
      <c r="I145" s="25">
        <v>83.688957000000002</v>
      </c>
      <c r="J145" s="25">
        <v>31.892372000000002</v>
      </c>
      <c r="K145" s="25">
        <v>27.104372000000001</v>
      </c>
      <c r="L145" s="25">
        <v>25124.189452999999</v>
      </c>
      <c r="Z145" s="24">
        <v>44011</v>
      </c>
      <c r="AA145" s="26">
        <v>140</v>
      </c>
      <c r="AB145" s="25">
        <f t="shared" si="20"/>
        <v>0.83765155414666714</v>
      </c>
      <c r="AC145" s="25">
        <f t="shared" si="21"/>
        <v>0.8267770504093982</v>
      </c>
      <c r="AD145" s="25">
        <f t="shared" si="22"/>
        <v>0.89085362760436382</v>
      </c>
      <c r="AE145" s="25">
        <f t="shared" si="23"/>
        <v>0.97576748306339078</v>
      </c>
      <c r="AF145" s="25">
        <f t="shared" si="24"/>
        <v>0.91894633979791518</v>
      </c>
      <c r="AH145" s="25">
        <f t="shared" si="25"/>
        <v>2.3223314730313194E-3</v>
      </c>
      <c r="AI145" s="25">
        <f t="shared" si="25"/>
        <v>1.695457830471786E-3</v>
      </c>
      <c r="AJ145" s="25">
        <f t="shared" si="25"/>
        <v>-2.1868085191199538E-3</v>
      </c>
      <c r="AK145" s="25">
        <f t="shared" si="19"/>
        <v>-1.1023837879978432E-2</v>
      </c>
      <c r="AL145" s="25">
        <f t="shared" si="26"/>
        <v>5.1678388198386216E-3</v>
      </c>
    </row>
    <row r="146" spans="1:38" x14ac:dyDescent="0.2">
      <c r="A146" s="24">
        <v>44015</v>
      </c>
      <c r="B146" s="25">
        <v>43.923980999999998</v>
      </c>
      <c r="C146" s="25">
        <v>67.254715000000004</v>
      </c>
      <c r="D146" s="25">
        <v>10.087008000000001</v>
      </c>
      <c r="E146" s="25">
        <v>33.422427999999996</v>
      </c>
      <c r="F146" s="25">
        <v>35.199016999999998</v>
      </c>
      <c r="G146" s="25">
        <v>116.87886</v>
      </c>
      <c r="H146" s="25">
        <v>25.055516999999998</v>
      </c>
      <c r="I146" s="25">
        <v>83.441353000000007</v>
      </c>
      <c r="J146" s="25">
        <v>31.570229000000001</v>
      </c>
      <c r="K146" s="25">
        <v>26.843754000000001</v>
      </c>
      <c r="L146" s="25">
        <v>25373.119140999999</v>
      </c>
      <c r="Z146" s="24">
        <v>44012</v>
      </c>
      <c r="AA146" s="26">
        <v>141</v>
      </c>
      <c r="AB146" s="25">
        <f t="shared" si="20"/>
        <v>0.83959911928489928</v>
      </c>
      <c r="AC146" s="25">
        <f t="shared" si="21"/>
        <v>0.82818000502268652</v>
      </c>
      <c r="AD146" s="25">
        <f t="shared" si="22"/>
        <v>0.88890762983997573</v>
      </c>
      <c r="AE146" s="25">
        <f t="shared" si="23"/>
        <v>0.96506985332508277</v>
      </c>
      <c r="AF146" s="25">
        <f t="shared" si="24"/>
        <v>0.92370759847839412</v>
      </c>
      <c r="AH146" s="25">
        <f t="shared" si="25"/>
        <v>4.1792324310486489E-2</v>
      </c>
      <c r="AI146" s="25">
        <f t="shared" si="25"/>
        <v>3.7146515590896351E-2</v>
      </c>
      <c r="AJ146" s="25">
        <f t="shared" si="25"/>
        <v>3.0452227541136898E-2</v>
      </c>
      <c r="AK146" s="25">
        <f t="shared" si="19"/>
        <v>9.9807841874534863E-3</v>
      </c>
      <c r="AL146" s="25">
        <f t="shared" si="26"/>
        <v>2.8134271534071331E-2</v>
      </c>
    </row>
    <row r="147" spans="1:38" x14ac:dyDescent="0.2">
      <c r="A147" s="24">
        <v>44018</v>
      </c>
      <c r="B147" s="25">
        <v>45.663963000000003</v>
      </c>
      <c r="C147" s="25">
        <v>67.254715000000004</v>
      </c>
      <c r="D147" s="25">
        <v>10.203714</v>
      </c>
      <c r="E147" s="25">
        <v>35.073467000000001</v>
      </c>
      <c r="F147" s="25">
        <v>35.844130999999997</v>
      </c>
      <c r="G147" s="25">
        <v>119.513237</v>
      </c>
      <c r="H147" s="25">
        <v>25.871656000000002</v>
      </c>
      <c r="I147" s="25">
        <v>85.999893</v>
      </c>
      <c r="J147" s="25">
        <v>33.543368999999998</v>
      </c>
      <c r="K147" s="25">
        <v>28.635508999999999</v>
      </c>
      <c r="L147" s="25">
        <v>26339.160156000002</v>
      </c>
      <c r="Z147" s="24">
        <v>44014</v>
      </c>
      <c r="AA147" s="26">
        <v>142</v>
      </c>
      <c r="AB147" s="25">
        <f t="shared" si="20"/>
        <v>0.87543146115427517</v>
      </c>
      <c r="AC147" s="25">
        <f t="shared" si="21"/>
        <v>0.85952253543676338</v>
      </c>
      <c r="AD147" s="25">
        <f t="shared" si="22"/>
        <v>0.91639322199642537</v>
      </c>
      <c r="AE147" s="25">
        <f t="shared" si="23"/>
        <v>0.97475023580111941</v>
      </c>
      <c r="AF147" s="25">
        <f t="shared" si="24"/>
        <v>0.95006446599187588</v>
      </c>
      <c r="AH147" s="25">
        <f t="shared" si="25"/>
        <v>-2.962673215195194E-3</v>
      </c>
      <c r="AI147" s="25">
        <f t="shared" si="25"/>
        <v>-1.7998474938374642E-3</v>
      </c>
      <c r="AJ147" s="25">
        <f t="shared" si="25"/>
        <v>-7.2194794022797937E-4</v>
      </c>
      <c r="AK147" s="25">
        <f t="shared" si="19"/>
        <v>3.6389138296921142E-3</v>
      </c>
      <c r="AL147" s="25">
        <f t="shared" si="26"/>
        <v>9.8592068108338538E-3</v>
      </c>
    </row>
    <row r="148" spans="1:38" x14ac:dyDescent="0.2">
      <c r="A148" s="24">
        <v>44019</v>
      </c>
      <c r="B148" s="25">
        <v>44.730311999999998</v>
      </c>
      <c r="C148" s="25">
        <v>65.826530000000005</v>
      </c>
      <c r="D148" s="25">
        <v>10.036987999999999</v>
      </c>
      <c r="E148" s="25">
        <v>34.493374000000003</v>
      </c>
      <c r="F148" s="25">
        <v>35.400607999999998</v>
      </c>
      <c r="G148" s="25">
        <v>117.66918200000001</v>
      </c>
      <c r="H148" s="25">
        <v>25.014707999999999</v>
      </c>
      <c r="I148" s="25">
        <v>83.193747999999999</v>
      </c>
      <c r="J148" s="25">
        <v>32.295054999999998</v>
      </c>
      <c r="K148" s="25">
        <v>27.918807999999999</v>
      </c>
      <c r="L148" s="25">
        <v>25975.660156000002</v>
      </c>
      <c r="Z148" s="24">
        <v>44015</v>
      </c>
      <c r="AA148" s="26">
        <v>143</v>
      </c>
      <c r="AB148" s="25">
        <f t="shared" si="20"/>
        <v>0.87284168204148027</v>
      </c>
      <c r="AC148" s="25">
        <f t="shared" si="21"/>
        <v>0.85797691731116177</v>
      </c>
      <c r="AD148" s="25">
        <f t="shared" si="22"/>
        <v>0.9157318725560244</v>
      </c>
      <c r="AE148" s="25">
        <f t="shared" si="23"/>
        <v>0.97830372942202348</v>
      </c>
      <c r="AF148" s="25">
        <f t="shared" si="24"/>
        <v>0.95947767518382476</v>
      </c>
      <c r="AH148" s="25">
        <f t="shared" si="25"/>
        <v>3.8251104578080078E-2</v>
      </c>
      <c r="AI148" s="25">
        <f t="shared" si="25"/>
        <v>3.3834689624583483E-2</v>
      </c>
      <c r="AJ148" s="25">
        <f t="shared" si="25"/>
        <v>1.7054087421038949E-2</v>
      </c>
      <c r="AK148" s="25">
        <f t="shared" si="19"/>
        <v>-2.1887980433003888E-2</v>
      </c>
      <c r="AL148" s="25">
        <f t="shared" si="26"/>
        <v>3.7366498976190599E-2</v>
      </c>
    </row>
    <row r="149" spans="1:38" x14ac:dyDescent="0.2">
      <c r="A149" s="24">
        <v>44020</v>
      </c>
      <c r="B149" s="25">
        <v>44.178612000000001</v>
      </c>
      <c r="C149" s="25">
        <v>65.653426999999994</v>
      </c>
      <c r="D149" s="25">
        <v>10.020315</v>
      </c>
      <c r="E149" s="25">
        <v>33.020820999999998</v>
      </c>
      <c r="F149" s="25">
        <v>35.279654999999998</v>
      </c>
      <c r="G149" s="25">
        <v>116.61541699999999</v>
      </c>
      <c r="H149" s="25">
        <v>24.973901999999999</v>
      </c>
      <c r="I149" s="25">
        <v>82.533493000000007</v>
      </c>
      <c r="J149" s="25">
        <v>32.899078000000003</v>
      </c>
      <c r="K149" s="25">
        <v>28.049118</v>
      </c>
      <c r="L149" s="25">
        <v>26129.179688</v>
      </c>
      <c r="Z149" s="24">
        <v>44018</v>
      </c>
      <c r="AA149" s="26">
        <v>144</v>
      </c>
      <c r="AB149" s="25">
        <f t="shared" si="20"/>
        <v>0.90687560852328608</v>
      </c>
      <c r="AC149" s="25">
        <f t="shared" si="21"/>
        <v>0.88750298599907629</v>
      </c>
      <c r="AD149" s="25">
        <f t="shared" si="22"/>
        <v>0.93148277081283104</v>
      </c>
      <c r="AE149" s="25">
        <f t="shared" si="23"/>
        <v>0.95712328075179665</v>
      </c>
      <c r="AF149" s="25">
        <f t="shared" si="24"/>
        <v>0.99600825631000056</v>
      </c>
      <c r="AH149" s="25">
        <f t="shared" si="25"/>
        <v>-2.7581803004513503E-2</v>
      </c>
      <c r="AI149" s="25">
        <f t="shared" si="25"/>
        <v>-2.498856361242098E-2</v>
      </c>
      <c r="AJ149" s="25">
        <f t="shared" si="25"/>
        <v>-1.9961403122605414E-2</v>
      </c>
      <c r="AK149" s="25">
        <f t="shared" si="19"/>
        <v>-4.1305417108597822E-3</v>
      </c>
      <c r="AL149" s="25">
        <f t="shared" si="26"/>
        <v>-1.3896859353495827E-2</v>
      </c>
    </row>
    <row r="150" spans="1:38" x14ac:dyDescent="0.2">
      <c r="A150" s="24">
        <v>44021</v>
      </c>
      <c r="B150" s="25">
        <v>43.584476000000002</v>
      </c>
      <c r="C150" s="25">
        <v>64.787834000000004</v>
      </c>
      <c r="D150" s="25">
        <v>9.8702590000000008</v>
      </c>
      <c r="E150" s="25">
        <v>33.110073</v>
      </c>
      <c r="F150" s="25">
        <v>35.078060000000001</v>
      </c>
      <c r="G150" s="25">
        <v>115.12262699999999</v>
      </c>
      <c r="H150" s="25">
        <v>24.647448000000001</v>
      </c>
      <c r="I150" s="25">
        <v>81.006621999999993</v>
      </c>
      <c r="J150" s="25">
        <v>32.21452</v>
      </c>
      <c r="K150" s="25">
        <v>27.723344999999998</v>
      </c>
      <c r="L150" s="25">
        <v>26210.160156000002</v>
      </c>
      <c r="Z150" s="24">
        <v>44019</v>
      </c>
      <c r="AA150" s="26">
        <v>145</v>
      </c>
      <c r="AB150" s="25">
        <f t="shared" si="20"/>
        <v>0.88220414985569273</v>
      </c>
      <c r="AC150" s="25">
        <f t="shared" si="21"/>
        <v>0.86560035848422368</v>
      </c>
      <c r="AD150" s="25">
        <f t="shared" si="22"/>
        <v>0.91307341726147306</v>
      </c>
      <c r="AE150" s="25">
        <f t="shared" si="23"/>
        <v>0.95317799680749205</v>
      </c>
      <c r="AF150" s="25">
        <f t="shared" si="24"/>
        <v>0.98226260158812018</v>
      </c>
      <c r="AH150" s="25">
        <f t="shared" si="25"/>
        <v>1.3653468406339964E-3</v>
      </c>
      <c r="AI150" s="25">
        <f t="shared" si="25"/>
        <v>-1.6543544800575183E-3</v>
      </c>
      <c r="AJ150" s="25">
        <f t="shared" si="25"/>
        <v>1.2011335234850123E-3</v>
      </c>
      <c r="AK150" s="25">
        <f t="shared" si="19"/>
        <v>-4.4935865906091388E-4</v>
      </c>
      <c r="AL150" s="25">
        <f t="shared" si="26"/>
        <v>5.8927338303966792E-3</v>
      </c>
    </row>
    <row r="151" spans="1:38" x14ac:dyDescent="0.2">
      <c r="A151" s="24">
        <v>44022</v>
      </c>
      <c r="B151" s="25">
        <v>42.735698999999997</v>
      </c>
      <c r="C151" s="25">
        <v>63.965549000000003</v>
      </c>
      <c r="D151" s="25">
        <v>9.8202420000000004</v>
      </c>
      <c r="E151" s="25">
        <v>32.485351999999999</v>
      </c>
      <c r="F151" s="25">
        <v>34.795817999999997</v>
      </c>
      <c r="G151" s="25">
        <v>113.45416299999999</v>
      </c>
      <c r="H151" s="25">
        <v>24.525026</v>
      </c>
      <c r="I151" s="25">
        <v>81.047882000000001</v>
      </c>
      <c r="J151" s="25">
        <v>32.778275000000001</v>
      </c>
      <c r="K151" s="25">
        <v>27.299838999999999</v>
      </c>
      <c r="L151" s="25">
        <v>25727.410156000002</v>
      </c>
      <c r="Z151" s="24">
        <v>44020</v>
      </c>
      <c r="AA151" s="26">
        <v>146</v>
      </c>
      <c r="AB151" s="25">
        <f t="shared" si="20"/>
        <v>0.88340948716899237</v>
      </c>
      <c r="AC151" s="25">
        <f t="shared" si="21"/>
        <v>0.86416953252622708</v>
      </c>
      <c r="AD151" s="25">
        <f t="shared" si="22"/>
        <v>0.9141707992715743</v>
      </c>
      <c r="AE151" s="25">
        <f t="shared" si="23"/>
        <v>0.95274977424096507</v>
      </c>
      <c r="AF151" s="25">
        <f t="shared" si="24"/>
        <v>0.9880679013953737</v>
      </c>
      <c r="AH151" s="25">
        <f t="shared" si="25"/>
        <v>-1.508575343440316E-2</v>
      </c>
      <c r="AI151" s="25">
        <f t="shared" si="25"/>
        <v>-1.358525598640431E-2</v>
      </c>
      <c r="AJ151" s="25">
        <f t="shared" si="25"/>
        <v>-1.2908638646519865E-2</v>
      </c>
      <c r="AK151" s="25">
        <f t="shared" si="19"/>
        <v>-7.7390573561523859E-3</v>
      </c>
      <c r="AL151" s="25">
        <f t="shared" si="26"/>
        <v>3.09444226315847E-3</v>
      </c>
    </row>
    <row r="152" spans="1:38" x14ac:dyDescent="0.2">
      <c r="A152" s="24">
        <v>44025</v>
      </c>
      <c r="B152" s="25">
        <v>43.075214000000003</v>
      </c>
      <c r="C152" s="25">
        <v>64.008826999999997</v>
      </c>
      <c r="D152" s="25">
        <v>9.6701879999999996</v>
      </c>
      <c r="E152" s="25">
        <v>33.243941999999997</v>
      </c>
      <c r="F152" s="25">
        <v>34.674858</v>
      </c>
      <c r="G152" s="25">
        <v>113.27853399999999</v>
      </c>
      <c r="H152" s="25">
        <v>24.320988</v>
      </c>
      <c r="I152" s="25">
        <v>80.800285000000002</v>
      </c>
      <c r="J152" s="25">
        <v>32.174252000000003</v>
      </c>
      <c r="K152" s="25">
        <v>27.853655</v>
      </c>
      <c r="L152" s="25">
        <v>25772.119140999999</v>
      </c>
      <c r="Z152" s="24">
        <v>44021</v>
      </c>
      <c r="AA152" s="26">
        <v>147</v>
      </c>
      <c r="AB152" s="25">
        <f t="shared" si="20"/>
        <v>0.87018260902191014</v>
      </c>
      <c r="AC152" s="25">
        <f t="shared" si="21"/>
        <v>0.85250895352490508</v>
      </c>
      <c r="AD152" s="25">
        <f t="shared" si="22"/>
        <v>0.90244593757588953</v>
      </c>
      <c r="AE152" s="25">
        <f t="shared" si="23"/>
        <v>0.94540484715715412</v>
      </c>
      <c r="AF152" s="25">
        <f t="shared" si="24"/>
        <v>0.99113015600980092</v>
      </c>
      <c r="AH152" s="25">
        <f t="shared" si="25"/>
        <v>-1.8546956663639813E-4</v>
      </c>
      <c r="AI152" s="25">
        <f t="shared" si="25"/>
        <v>-3.236186683600123E-3</v>
      </c>
      <c r="AJ152" s="25">
        <f t="shared" si="25"/>
        <v>-5.1792269820287035E-3</v>
      </c>
      <c r="AK152" s="25">
        <f t="shared" si="19"/>
        <v>-1.5985926051636047E-2</v>
      </c>
      <c r="AL152" s="25">
        <f t="shared" si="26"/>
        <v>-1.8590161225574775E-2</v>
      </c>
    </row>
    <row r="153" spans="1:38" x14ac:dyDescent="0.2">
      <c r="A153" s="24">
        <v>44026</v>
      </c>
      <c r="B153" s="25">
        <v>43.881542000000003</v>
      </c>
      <c r="C153" s="25">
        <v>63.143265</v>
      </c>
      <c r="D153" s="25">
        <v>9.5701509999999992</v>
      </c>
      <c r="E153" s="25">
        <v>32.886951000000003</v>
      </c>
      <c r="F153" s="25">
        <v>34.674858</v>
      </c>
      <c r="G153" s="25">
        <v>113.366348</v>
      </c>
      <c r="H153" s="25">
        <v>24.443413</v>
      </c>
      <c r="I153" s="25">
        <v>81.212952000000001</v>
      </c>
      <c r="J153" s="25">
        <v>31.771574000000001</v>
      </c>
      <c r="K153" s="25">
        <v>27.593031</v>
      </c>
      <c r="L153" s="25">
        <v>25477.890625</v>
      </c>
      <c r="Z153" s="24">
        <v>44022</v>
      </c>
      <c r="AA153" s="26">
        <v>148</v>
      </c>
      <c r="AB153" s="25">
        <f t="shared" si="20"/>
        <v>0.87002123159628353</v>
      </c>
      <c r="AC153" s="25">
        <f t="shared" si="21"/>
        <v>0.8497545347124954</v>
      </c>
      <c r="AD153" s="25">
        <f t="shared" si="22"/>
        <v>0.89778404813897827</v>
      </c>
      <c r="AE153" s="25">
        <f t="shared" si="23"/>
        <v>0.93041183307599673</v>
      </c>
      <c r="AF153" s="25">
        <f t="shared" si="24"/>
        <v>0.97287509461506161</v>
      </c>
      <c r="AH153" s="25">
        <f t="shared" si="25"/>
        <v>-6.636297478690184E-3</v>
      </c>
      <c r="AI153" s="25">
        <f t="shared" si="25"/>
        <v>-4.672135705983349E-3</v>
      </c>
      <c r="AJ153" s="25">
        <f t="shared" si="25"/>
        <v>-7.9814463359358101E-3</v>
      </c>
      <c r="AK153" s="25">
        <f t="shared" si="19"/>
        <v>-8.7581826470407714E-3</v>
      </c>
      <c r="AL153" s="25">
        <f t="shared" si="26"/>
        <v>1.7362875677626732E-3</v>
      </c>
    </row>
    <row r="154" spans="1:38" x14ac:dyDescent="0.2">
      <c r="A154" s="24">
        <v>44027</v>
      </c>
      <c r="B154" s="25">
        <v>43.457160999999999</v>
      </c>
      <c r="C154" s="25">
        <v>63.143265</v>
      </c>
      <c r="D154" s="25">
        <v>9.4701140000000006</v>
      </c>
      <c r="E154" s="25">
        <v>33.199314000000001</v>
      </c>
      <c r="F154" s="25">
        <v>34.513576999999998</v>
      </c>
      <c r="G154" s="25">
        <v>113.629784</v>
      </c>
      <c r="H154" s="25">
        <v>24.198566</v>
      </c>
      <c r="I154" s="25">
        <v>81.419289000000006</v>
      </c>
      <c r="J154" s="25">
        <v>31.449422999999999</v>
      </c>
      <c r="K154" s="25">
        <v>27.039214999999999</v>
      </c>
      <c r="L154" s="25">
        <v>25481.580077999999</v>
      </c>
      <c r="Z154" s="24">
        <v>44025</v>
      </c>
      <c r="AA154" s="26">
        <v>149</v>
      </c>
      <c r="AB154" s="25">
        <f t="shared" si="20"/>
        <v>0.86426662764208428</v>
      </c>
      <c r="AC154" s="25">
        <f t="shared" si="21"/>
        <v>0.84579362636537314</v>
      </c>
      <c r="AD154" s="25">
        <f t="shared" si="22"/>
        <v>0.89064695299654761</v>
      </c>
      <c r="AE154" s="25">
        <f t="shared" si="23"/>
        <v>0.92229869633196737</v>
      </c>
      <c r="AF154" s="25">
        <f t="shared" si="24"/>
        <v>0.97456575285653524</v>
      </c>
      <c r="AH154" s="25">
        <f t="shared" si="25"/>
        <v>-5.4602628340147674E-3</v>
      </c>
      <c r="AI154" s="25">
        <f t="shared" si="25"/>
        <v>-4.9814121743555762E-3</v>
      </c>
      <c r="AJ154" s="25">
        <f t="shared" si="25"/>
        <v>-5.158136349788095E-3</v>
      </c>
      <c r="AK154" s="25">
        <f t="shared" si="19"/>
        <v>-3.6302221246819338E-3</v>
      </c>
      <c r="AL154" s="25">
        <f t="shared" si="26"/>
        <v>-1.1482212392014191E-2</v>
      </c>
    </row>
    <row r="155" spans="1:38" x14ac:dyDescent="0.2">
      <c r="A155" s="24">
        <v>44028</v>
      </c>
      <c r="B155" s="25">
        <v>43.287402999999998</v>
      </c>
      <c r="C155" s="25">
        <v>62.970157999999998</v>
      </c>
      <c r="D155" s="25">
        <v>9.4867869999999996</v>
      </c>
      <c r="E155" s="25">
        <v>33.199314000000001</v>
      </c>
      <c r="F155" s="25">
        <v>34.392628000000002</v>
      </c>
      <c r="G155" s="25">
        <v>114.33229799999999</v>
      </c>
      <c r="H155" s="25">
        <v>24.116955000000001</v>
      </c>
      <c r="I155" s="25">
        <v>80.428878999999995</v>
      </c>
      <c r="J155" s="25">
        <v>30.563526</v>
      </c>
      <c r="K155" s="25">
        <v>26.648292999999999</v>
      </c>
      <c r="L155" s="25">
        <v>24970.689452999999</v>
      </c>
      <c r="Z155" s="24">
        <v>44026</v>
      </c>
      <c r="AA155" s="26">
        <v>150</v>
      </c>
      <c r="AB155" s="25">
        <f t="shared" si="20"/>
        <v>0.85956036510458911</v>
      </c>
      <c r="AC155" s="25">
        <f t="shared" si="21"/>
        <v>0.84159085625389218</v>
      </c>
      <c r="AD155" s="25">
        <f t="shared" si="22"/>
        <v>0.88606470266920645</v>
      </c>
      <c r="AE155" s="25">
        <f t="shared" si="23"/>
        <v>0.91895661711423904</v>
      </c>
      <c r="AF155" s="25">
        <f t="shared" si="24"/>
        <v>0.96343958066872992</v>
      </c>
      <c r="AH155" s="25">
        <f t="shared" si="25"/>
        <v>-6.0511989127985111E-3</v>
      </c>
      <c r="AI155" s="25">
        <f t="shared" si="25"/>
        <v>-5.2657752072792774E-3</v>
      </c>
      <c r="AJ155" s="25">
        <f t="shared" si="25"/>
        <v>-6.0898327904217314E-3</v>
      </c>
      <c r="AK155" s="25">
        <f t="shared" si="19"/>
        <v>-6.2753953008154312E-3</v>
      </c>
      <c r="AL155" s="25">
        <f t="shared" si="26"/>
        <v>1.4479950264600916E-4</v>
      </c>
    </row>
    <row r="156" spans="1:38" x14ac:dyDescent="0.2">
      <c r="A156" s="24">
        <v>44029</v>
      </c>
      <c r="B156" s="25">
        <v>43.244965000000001</v>
      </c>
      <c r="C156" s="25">
        <v>62.753765000000001</v>
      </c>
      <c r="D156" s="25">
        <v>9.436769</v>
      </c>
      <c r="E156" s="25">
        <v>32.976199999999999</v>
      </c>
      <c r="F156" s="25">
        <v>34.392628000000002</v>
      </c>
      <c r="G156" s="25">
        <v>113.717598</v>
      </c>
      <c r="H156" s="25">
        <v>23.994532</v>
      </c>
      <c r="I156" s="25">
        <v>79.768623000000005</v>
      </c>
      <c r="J156" s="25">
        <v>30.241381000000001</v>
      </c>
      <c r="K156" s="25">
        <v>26.159634</v>
      </c>
      <c r="L156" s="25">
        <v>25089.169922000001</v>
      </c>
      <c r="Z156" s="24">
        <v>44027</v>
      </c>
      <c r="AA156" s="26">
        <v>151</v>
      </c>
      <c r="AB156" s="25">
        <f t="shared" si="20"/>
        <v>0.85437469992714454</v>
      </c>
      <c r="AC156" s="25">
        <f t="shared" si="21"/>
        <v>0.83717087551409619</v>
      </c>
      <c r="AD156" s="25">
        <f t="shared" si="22"/>
        <v>0.88068511381240333</v>
      </c>
      <c r="AE156" s="25">
        <f t="shared" si="23"/>
        <v>0.91320785781188307</v>
      </c>
      <c r="AF156" s="25">
        <f t="shared" si="24"/>
        <v>0.9635790963414963</v>
      </c>
      <c r="AH156" s="25">
        <f t="shared" si="25"/>
        <v>-1.2123544277886061E-2</v>
      </c>
      <c r="AI156" s="25">
        <f t="shared" si="25"/>
        <v>-9.2627171166331235E-3</v>
      </c>
      <c r="AJ156" s="25">
        <f t="shared" si="25"/>
        <v>-5.5286784816855894E-3</v>
      </c>
      <c r="AK156" s="25">
        <f t="shared" si="19"/>
        <v>7.2615423819036296E-3</v>
      </c>
      <c r="AL156" s="25">
        <f t="shared" si="26"/>
        <v>-2.0253126097642848E-2</v>
      </c>
    </row>
    <row r="157" spans="1:38" x14ac:dyDescent="0.2">
      <c r="A157" s="24">
        <v>44032</v>
      </c>
      <c r="B157" s="25">
        <v>43.160083999999998</v>
      </c>
      <c r="C157" s="25">
        <v>62.061295000000001</v>
      </c>
      <c r="D157" s="25">
        <v>9.3867499999999993</v>
      </c>
      <c r="E157" s="25">
        <v>32.663845000000002</v>
      </c>
      <c r="F157" s="25">
        <v>34.191025000000003</v>
      </c>
      <c r="G157" s="25">
        <v>112.839478</v>
      </c>
      <c r="H157" s="25">
        <v>23.790499000000001</v>
      </c>
      <c r="I157" s="25">
        <v>78.736953999999997</v>
      </c>
      <c r="J157" s="25">
        <v>30.080309</v>
      </c>
      <c r="K157" s="25">
        <v>26.127051999999999</v>
      </c>
      <c r="L157" s="25">
        <v>25057.990234000001</v>
      </c>
      <c r="Z157" s="24">
        <v>44028</v>
      </c>
      <c r="AA157" s="26">
        <v>152</v>
      </c>
      <c r="AB157" s="25">
        <f t="shared" si="20"/>
        <v>0.84407918558751438</v>
      </c>
      <c r="AC157" s="25">
        <f t="shared" si="21"/>
        <v>0.82945220164929434</v>
      </c>
      <c r="AD157" s="25">
        <f t="shared" si="22"/>
        <v>0.87582952384053081</v>
      </c>
      <c r="AE157" s="25">
        <f t="shared" si="23"/>
        <v>0.91986329048302373</v>
      </c>
      <c r="AF157" s="25">
        <f t="shared" si="24"/>
        <v>0.94425990478194843</v>
      </c>
      <c r="AH157" s="25">
        <f t="shared" si="25"/>
        <v>-7.1147039948837865E-3</v>
      </c>
      <c r="AI157" s="25">
        <f t="shared" si="25"/>
        <v>-6.2182239913484982E-3</v>
      </c>
      <c r="AJ157" s="25">
        <f t="shared" si="25"/>
        <v>-3.0994359872022204E-3</v>
      </c>
      <c r="AK157" s="25">
        <f t="shared" si="19"/>
        <v>4.7794180037693534E-3</v>
      </c>
      <c r="AL157" s="25">
        <f t="shared" si="26"/>
        <v>4.7335606495035876E-3</v>
      </c>
    </row>
    <row r="158" spans="1:38" x14ac:dyDescent="0.2">
      <c r="A158" s="24">
        <v>44033</v>
      </c>
      <c r="B158" s="25">
        <v>43.160083999999998</v>
      </c>
      <c r="C158" s="25">
        <v>62.753765000000001</v>
      </c>
      <c r="D158" s="25">
        <v>9.436769</v>
      </c>
      <c r="E158" s="25">
        <v>33.467052000000002</v>
      </c>
      <c r="F158" s="25">
        <v>34.432941</v>
      </c>
      <c r="G158" s="25">
        <v>113.717598</v>
      </c>
      <c r="H158" s="25">
        <v>24.239376</v>
      </c>
      <c r="I158" s="25">
        <v>78.778205999999997</v>
      </c>
      <c r="J158" s="25">
        <v>30.482990000000001</v>
      </c>
      <c r="K158" s="25">
        <v>26.224782999999999</v>
      </c>
      <c r="L158" s="25">
        <v>25635.660156000002</v>
      </c>
      <c r="Z158" s="24">
        <v>44029</v>
      </c>
      <c r="AA158" s="26">
        <v>153</v>
      </c>
      <c r="AB158" s="25">
        <f t="shared" si="20"/>
        <v>0.83809512468706371</v>
      </c>
      <c r="AC158" s="25">
        <f t="shared" si="21"/>
        <v>0.82431048481041458</v>
      </c>
      <c r="AD158" s="25">
        <f t="shared" si="22"/>
        <v>0.87311914878245078</v>
      </c>
      <c r="AE158" s="25">
        <f t="shared" si="23"/>
        <v>0.92427022455568597</v>
      </c>
      <c r="AF158" s="25">
        <f t="shared" si="24"/>
        <v>0.94874021184703916</v>
      </c>
      <c r="AH158" s="25">
        <f t="shared" si="25"/>
        <v>-6.8740812802406681E-3</v>
      </c>
      <c r="AI158" s="25">
        <f t="shared" si="25"/>
        <v>-6.967180782574578E-3</v>
      </c>
      <c r="AJ158" s="25">
        <f t="shared" si="25"/>
        <v>-6.9211524669308688E-3</v>
      </c>
      <c r="AK158" s="25">
        <f t="shared" si="19"/>
        <v>-6.567086260458363E-3</v>
      </c>
      <c r="AL158" s="25">
        <f t="shared" si="26"/>
        <v>-1.2435277260323119E-3</v>
      </c>
    </row>
    <row r="159" spans="1:38" x14ac:dyDescent="0.2">
      <c r="A159" s="24">
        <v>44034</v>
      </c>
      <c r="B159" s="25">
        <v>42.693260000000002</v>
      </c>
      <c r="C159" s="25">
        <v>62.104579999999999</v>
      </c>
      <c r="D159" s="25">
        <v>9.3367330000000006</v>
      </c>
      <c r="E159" s="25">
        <v>32.663845000000002</v>
      </c>
      <c r="F159" s="25">
        <v>34.150700000000001</v>
      </c>
      <c r="G159" s="25">
        <v>111.96135700000001</v>
      </c>
      <c r="H159" s="25">
        <v>23.668077</v>
      </c>
      <c r="I159" s="25">
        <v>77.457663999999994</v>
      </c>
      <c r="J159" s="25">
        <v>29.919235</v>
      </c>
      <c r="K159" s="25">
        <v>25.638390000000001</v>
      </c>
      <c r="L159" s="25">
        <v>25057.939452999999</v>
      </c>
      <c r="Z159" s="24">
        <v>44032</v>
      </c>
      <c r="AA159" s="26">
        <v>154</v>
      </c>
      <c r="AB159" s="25">
        <f t="shared" si="20"/>
        <v>0.83235374663716966</v>
      </c>
      <c r="AC159" s="25">
        <f t="shared" si="21"/>
        <v>0.81858732493743991</v>
      </c>
      <c r="AD159" s="25">
        <f t="shared" si="22"/>
        <v>0.86709702209988637</v>
      </c>
      <c r="AE159" s="25">
        <f t="shared" si="23"/>
        <v>0.91822034903280969</v>
      </c>
      <c r="AF159" s="25">
        <f t="shared" si="24"/>
        <v>0.94756116033236526</v>
      </c>
      <c r="AH159" s="25">
        <f t="shared" si="25"/>
        <v>1.0340824530957804E-2</v>
      </c>
      <c r="AI159" s="25">
        <f t="shared" si="25"/>
        <v>1.0115557876923476E-2</v>
      </c>
      <c r="AJ159" s="25">
        <f t="shared" si="25"/>
        <v>7.3238119955151282E-3</v>
      </c>
      <c r="AK159" s="25">
        <f t="shared" si="19"/>
        <v>1.3994002052451632E-3</v>
      </c>
      <c r="AL159" s="25">
        <f t="shared" si="26"/>
        <v>2.2791608952362097E-2</v>
      </c>
    </row>
    <row r="160" spans="1:38" x14ac:dyDescent="0.2">
      <c r="A160" s="24">
        <v>44035</v>
      </c>
      <c r="B160" s="25">
        <v>42.565947999999999</v>
      </c>
      <c r="C160" s="25">
        <v>61.974735000000003</v>
      </c>
      <c r="D160" s="25">
        <v>9.3200599999999998</v>
      </c>
      <c r="E160" s="25">
        <v>32.619216999999999</v>
      </c>
      <c r="F160" s="25">
        <v>34.070067999999999</v>
      </c>
      <c r="G160" s="25">
        <v>111.61009199999999</v>
      </c>
      <c r="H160" s="25">
        <v>23.586463999999999</v>
      </c>
      <c r="I160" s="25">
        <v>76.508529999999993</v>
      </c>
      <c r="J160" s="25">
        <v>29.838697</v>
      </c>
      <c r="K160" s="25">
        <v>25.280038999999999</v>
      </c>
      <c r="L160" s="25">
        <v>25263</v>
      </c>
      <c r="Z160" s="24">
        <v>44033</v>
      </c>
      <c r="AA160" s="26">
        <v>155</v>
      </c>
      <c r="AB160" s="25">
        <f t="shared" si="20"/>
        <v>0.84100562737185813</v>
      </c>
      <c r="AC160" s="25">
        <f t="shared" si="21"/>
        <v>0.82690981474773451</v>
      </c>
      <c r="AD160" s="25">
        <f t="shared" si="22"/>
        <v>0.87347078931825251</v>
      </c>
      <c r="AE160" s="25">
        <f t="shared" si="23"/>
        <v>0.9195062062823125</v>
      </c>
      <c r="AF160" s="25">
        <f t="shared" si="24"/>
        <v>0.96940559304495832</v>
      </c>
      <c r="AH160" s="25">
        <f t="shared" si="25"/>
        <v>-1.6485510742073411E-2</v>
      </c>
      <c r="AI160" s="25">
        <f t="shared" si="25"/>
        <v>-1.5629506464203191E-2</v>
      </c>
      <c r="AJ160" s="25">
        <f t="shared" si="25"/>
        <v>-1.0338219775082619E-2</v>
      </c>
      <c r="AK160" s="25">
        <f t="shared" si="19"/>
        <v>1.4395445657122835E-3</v>
      </c>
      <c r="AL160" s="25">
        <f t="shared" si="26"/>
        <v>-2.2793635493636444E-2</v>
      </c>
    </row>
    <row r="161" spans="1:38" x14ac:dyDescent="0.2">
      <c r="A161" s="24">
        <v>44036</v>
      </c>
      <c r="B161" s="25">
        <v>42.268878999999998</v>
      </c>
      <c r="C161" s="25">
        <v>61.888202999999997</v>
      </c>
      <c r="D161" s="25">
        <v>9.2033509999999996</v>
      </c>
      <c r="E161" s="25">
        <v>32.128368000000002</v>
      </c>
      <c r="F161" s="25">
        <v>34.150700000000001</v>
      </c>
      <c r="G161" s="25">
        <v>109.15134399999999</v>
      </c>
      <c r="H161" s="25">
        <v>23.341621</v>
      </c>
      <c r="I161" s="25">
        <v>76.302199999999999</v>
      </c>
      <c r="J161" s="25">
        <v>29.999773000000001</v>
      </c>
      <c r="K161" s="25">
        <v>24.823957</v>
      </c>
      <c r="L161" s="25">
        <v>24705.330077999999</v>
      </c>
      <c r="Z161" s="24">
        <v>44034</v>
      </c>
      <c r="AA161" s="26">
        <v>156</v>
      </c>
      <c r="AB161" s="25">
        <f t="shared" si="20"/>
        <v>0.82725487557203536</v>
      </c>
      <c r="AC161" s="25">
        <f t="shared" si="21"/>
        <v>0.81408609768582307</v>
      </c>
      <c r="AD161" s="25">
        <f t="shared" si="22"/>
        <v>0.86448717364081018</v>
      </c>
      <c r="AE161" s="25">
        <f t="shared" si="23"/>
        <v>0.92083082964313512</v>
      </c>
      <c r="AF161" s="25">
        <f t="shared" si="24"/>
        <v>0.9475592400625098</v>
      </c>
      <c r="AH161" s="25">
        <f t="shared" si="25"/>
        <v>-3.8090542145737538E-3</v>
      </c>
      <c r="AI161" s="25">
        <f t="shared" si="25"/>
        <v>-3.5415219622647043E-3</v>
      </c>
      <c r="AJ161" s="25">
        <f t="shared" si="25"/>
        <v>-2.425755740484925E-3</v>
      </c>
      <c r="AK161" s="25">
        <f t="shared" si="19"/>
        <v>1.5451243883317367E-4</v>
      </c>
      <c r="AL161" s="25">
        <f t="shared" si="26"/>
        <v>8.1501531697654173E-3</v>
      </c>
    </row>
    <row r="162" spans="1:38" x14ac:dyDescent="0.2">
      <c r="A162" s="24">
        <v>44039</v>
      </c>
      <c r="B162" s="25">
        <v>41.802047999999999</v>
      </c>
      <c r="C162" s="25">
        <v>62.061295000000001</v>
      </c>
      <c r="D162" s="25">
        <v>9.1033139999999992</v>
      </c>
      <c r="E162" s="25">
        <v>31.548272999999998</v>
      </c>
      <c r="F162" s="25">
        <v>34.634540999999999</v>
      </c>
      <c r="G162" s="25">
        <v>107.570702</v>
      </c>
      <c r="H162" s="25">
        <v>23.096776999999999</v>
      </c>
      <c r="I162" s="25">
        <v>75.641936999999999</v>
      </c>
      <c r="J162" s="25">
        <v>29.154139000000001</v>
      </c>
      <c r="K162" s="25">
        <v>24.954266000000001</v>
      </c>
      <c r="L162" s="25">
        <v>24603.259765999999</v>
      </c>
      <c r="Z162" s="24">
        <v>44035</v>
      </c>
      <c r="AA162" s="26">
        <v>157</v>
      </c>
      <c r="AB162" s="25">
        <f t="shared" si="20"/>
        <v>0.82410981056588639</v>
      </c>
      <c r="AC162" s="25">
        <f t="shared" si="21"/>
        <v>0.81120809315790032</v>
      </c>
      <c r="AD162" s="25">
        <f t="shared" si="22"/>
        <v>0.86239268030843819</v>
      </c>
      <c r="AE162" s="25">
        <f t="shared" si="23"/>
        <v>0.92097312045294299</v>
      </c>
      <c r="AF162" s="25">
        <f t="shared" si="24"/>
        <v>0.95531354948793468</v>
      </c>
      <c r="AH162" s="25">
        <f t="shared" si="25"/>
        <v>-3.8001410590565166E-3</v>
      </c>
      <c r="AI162" s="25">
        <f t="shared" si="25"/>
        <v>-4.7690807481666486E-3</v>
      </c>
      <c r="AJ162" s="25">
        <f t="shared" si="25"/>
        <v>-1.3251613820013664E-3</v>
      </c>
      <c r="AK162" s="25">
        <f t="shared" si="19"/>
        <v>3.4615358703873889E-3</v>
      </c>
      <c r="AL162" s="25">
        <f t="shared" si="26"/>
        <v>-2.2321861730334902E-2</v>
      </c>
    </row>
    <row r="163" spans="1:38" x14ac:dyDescent="0.2">
      <c r="A163" s="24">
        <v>44040</v>
      </c>
      <c r="B163" s="25">
        <v>42.311317000000003</v>
      </c>
      <c r="C163" s="25">
        <v>62.277698999999998</v>
      </c>
      <c r="D163" s="25">
        <v>9.0699679999999994</v>
      </c>
      <c r="E163" s="25">
        <v>31.057421000000001</v>
      </c>
      <c r="F163" s="25">
        <v>34.674858</v>
      </c>
      <c r="G163" s="25">
        <v>108.44883</v>
      </c>
      <c r="H163" s="25">
        <v>23.382427</v>
      </c>
      <c r="I163" s="25">
        <v>76.549805000000006</v>
      </c>
      <c r="J163" s="25">
        <v>29.274944000000001</v>
      </c>
      <c r="K163" s="25">
        <v>25.084575999999998</v>
      </c>
      <c r="L163" s="25">
        <v>24772.759765999999</v>
      </c>
      <c r="Z163" s="24">
        <v>44036</v>
      </c>
      <c r="AA163" s="26">
        <v>158</v>
      </c>
      <c r="AB163" s="25">
        <f t="shared" si="20"/>
        <v>0.82098402002172444</v>
      </c>
      <c r="AC163" s="25">
        <f t="shared" si="21"/>
        <v>0.80734858672207488</v>
      </c>
      <c r="AD163" s="25">
        <f t="shared" si="22"/>
        <v>0.86125062770150362</v>
      </c>
      <c r="AE163" s="25">
        <f t="shared" si="23"/>
        <v>0.92416662597323285</v>
      </c>
      <c r="AF163" s="25">
        <f t="shared" si="24"/>
        <v>0.93422541139552762</v>
      </c>
      <c r="AH163" s="25">
        <f t="shared" si="25"/>
        <v>-1.37890342943085E-2</v>
      </c>
      <c r="AI163" s="25">
        <f t="shared" si="25"/>
        <v>-1.0736095050924405E-2</v>
      </c>
      <c r="AJ163" s="25">
        <f t="shared" si="25"/>
        <v>-1.7335010052130229E-4</v>
      </c>
      <c r="AK163" s="25">
        <f t="shared" si="19"/>
        <v>2.5682063495426385E-2</v>
      </c>
      <c r="AL163" s="25">
        <f t="shared" si="26"/>
        <v>-4.1400680130863066E-3</v>
      </c>
    </row>
    <row r="164" spans="1:38" x14ac:dyDescent="0.2">
      <c r="A164" s="24">
        <v>44041</v>
      </c>
      <c r="B164" s="25">
        <v>42.438628999999999</v>
      </c>
      <c r="C164" s="25">
        <v>62.277698999999998</v>
      </c>
      <c r="D164" s="25">
        <v>9.0532970000000006</v>
      </c>
      <c r="E164" s="25">
        <v>31.905259999999998</v>
      </c>
      <c r="F164" s="25">
        <v>34.392628000000002</v>
      </c>
      <c r="G164" s="25">
        <v>108.800087</v>
      </c>
      <c r="H164" s="25">
        <v>23.627272000000001</v>
      </c>
      <c r="I164" s="25">
        <v>76.302199999999999</v>
      </c>
      <c r="J164" s="25">
        <v>29.476286000000002</v>
      </c>
      <c r="K164" s="25">
        <v>25.149729000000001</v>
      </c>
      <c r="L164" s="25">
        <v>24883.140625</v>
      </c>
      <c r="Z164" s="24">
        <v>44039</v>
      </c>
      <c r="AA164" s="26">
        <v>159</v>
      </c>
      <c r="AB164" s="25">
        <f t="shared" si="20"/>
        <v>0.80974113561446048</v>
      </c>
      <c r="AC164" s="25">
        <f t="shared" si="21"/>
        <v>0.79872717849604269</v>
      </c>
      <c r="AD164" s="25">
        <f t="shared" si="22"/>
        <v>0.86110134275827133</v>
      </c>
      <c r="AE164" s="25">
        <f t="shared" si="23"/>
        <v>0.94820853341289313</v>
      </c>
      <c r="AF164" s="25">
        <f t="shared" si="24"/>
        <v>0.93036565000321225</v>
      </c>
      <c r="AH164" s="25">
        <f t="shared" si="25"/>
        <v>4.2198886784372003E-3</v>
      </c>
      <c r="AI164" s="25">
        <f t="shared" si="25"/>
        <v>3.3152105567746115E-3</v>
      </c>
      <c r="AJ164" s="25">
        <f t="shared" si="25"/>
        <v>3.1547245652746581E-3</v>
      </c>
      <c r="AK164" s="25">
        <f t="shared" si="19"/>
        <v>8.7919708504794608E-4</v>
      </c>
      <c r="AL164" s="25">
        <f t="shared" si="26"/>
        <v>6.8657079865719339E-3</v>
      </c>
    </row>
    <row r="165" spans="1:38" x14ac:dyDescent="0.2">
      <c r="A165" s="24">
        <v>44042</v>
      </c>
      <c r="B165" s="25">
        <v>42.905456999999998</v>
      </c>
      <c r="C165" s="25">
        <v>62.710484000000001</v>
      </c>
      <c r="D165" s="25">
        <v>9.2533689999999993</v>
      </c>
      <c r="E165" s="25">
        <v>31.816015</v>
      </c>
      <c r="F165" s="25">
        <v>34.432941</v>
      </c>
      <c r="G165" s="25">
        <v>108.800087</v>
      </c>
      <c r="H165" s="25">
        <v>23.668077</v>
      </c>
      <c r="I165" s="25">
        <v>77.498947000000001</v>
      </c>
      <c r="J165" s="25">
        <v>30.321916999999999</v>
      </c>
      <c r="K165" s="25">
        <v>25.084575999999998</v>
      </c>
      <c r="L165" s="25">
        <v>24710.589843999998</v>
      </c>
      <c r="Z165" s="24">
        <v>44040</v>
      </c>
      <c r="AA165" s="26">
        <v>160</v>
      </c>
      <c r="AB165" s="25">
        <f t="shared" si="20"/>
        <v>0.81316537293384028</v>
      </c>
      <c r="AC165" s="25">
        <f t="shared" si="21"/>
        <v>0.80137952137849677</v>
      </c>
      <c r="AD165" s="25">
        <f t="shared" si="22"/>
        <v>0.86382216979086335</v>
      </c>
      <c r="AE165" s="25">
        <f t="shared" si="23"/>
        <v>0.94904256217559135</v>
      </c>
      <c r="AF165" s="25">
        <f t="shared" si="24"/>
        <v>0.93677524690928859</v>
      </c>
      <c r="AH165" s="25">
        <f t="shared" si="25"/>
        <v>4.2537522733987476E-3</v>
      </c>
      <c r="AI165" s="25">
        <f t="shared" si="25"/>
        <v>3.680876313933934E-3</v>
      </c>
      <c r="AJ165" s="25">
        <f t="shared" si="25"/>
        <v>-3.591397348143649E-3</v>
      </c>
      <c r="AK165" s="25">
        <f t="shared" si="19"/>
        <v>-1.7686037904081707E-2</v>
      </c>
      <c r="AL165" s="25">
        <f t="shared" si="26"/>
        <v>4.4458378537726162E-3</v>
      </c>
    </row>
    <row r="166" spans="1:38" x14ac:dyDescent="0.2">
      <c r="A166" s="24">
        <v>44043</v>
      </c>
      <c r="B166" s="25">
        <v>42.905456999999998</v>
      </c>
      <c r="C166" s="25">
        <v>63.532772000000001</v>
      </c>
      <c r="D166" s="25">
        <v>9.2700420000000001</v>
      </c>
      <c r="E166" s="25">
        <v>31.191293999999999</v>
      </c>
      <c r="F166" s="25">
        <v>34.795817999999997</v>
      </c>
      <c r="G166" s="25">
        <v>107.043831</v>
      </c>
      <c r="H166" s="25">
        <v>23.708883</v>
      </c>
      <c r="I166" s="25">
        <v>78.324264999999997</v>
      </c>
      <c r="J166" s="25">
        <v>30.442720000000001</v>
      </c>
      <c r="K166" s="25">
        <v>24.986843</v>
      </c>
      <c r="L166" s="25">
        <v>24595.349609000001</v>
      </c>
      <c r="Z166" s="24">
        <v>44041</v>
      </c>
      <c r="AA166" s="26">
        <v>161</v>
      </c>
      <c r="AB166" s="25">
        <f t="shared" si="20"/>
        <v>0.81663174430332675</v>
      </c>
      <c r="AC166" s="25">
        <f t="shared" si="21"/>
        <v>0.80433473583000337</v>
      </c>
      <c r="AD166" s="25">
        <f t="shared" si="22"/>
        <v>0.8607254053253931</v>
      </c>
      <c r="AE166" s="25">
        <f t="shared" si="23"/>
        <v>0.93240531659597781</v>
      </c>
      <c r="AF166" s="25">
        <f t="shared" si="24"/>
        <v>0.94094926940094903</v>
      </c>
      <c r="AH166" s="25">
        <f t="shared" si="25"/>
        <v>1.4301713086280338E-2</v>
      </c>
      <c r="AI166" s="25">
        <f t="shared" si="25"/>
        <v>1.2007393396897353E-2</v>
      </c>
      <c r="AJ166" s="25">
        <f t="shared" si="25"/>
        <v>1.1343698123677387E-2</v>
      </c>
      <c r="AK166" s="25">
        <f t="shared" si="19"/>
        <v>4.8138648584052091E-3</v>
      </c>
      <c r="AL166" s="25">
        <f t="shared" si="26"/>
        <v>-6.9586004376169797E-3</v>
      </c>
    </row>
    <row r="167" spans="1:38" x14ac:dyDescent="0.2">
      <c r="A167" s="24">
        <v>44046</v>
      </c>
      <c r="B167" s="25">
        <v>42.735698999999997</v>
      </c>
      <c r="C167" s="25">
        <v>64.138679999999994</v>
      </c>
      <c r="D167" s="25">
        <v>9.2533689999999993</v>
      </c>
      <c r="E167" s="25">
        <v>29.807987000000001</v>
      </c>
      <c r="F167" s="25">
        <v>34.755496999999998</v>
      </c>
      <c r="G167" s="25">
        <v>103.970383</v>
      </c>
      <c r="H167" s="25">
        <v>23.382427</v>
      </c>
      <c r="I167" s="25">
        <v>77.911606000000006</v>
      </c>
      <c r="J167" s="25">
        <v>30.321916999999999</v>
      </c>
      <c r="K167" s="25">
        <v>24.563337000000001</v>
      </c>
      <c r="L167" s="25">
        <v>24458.130859000001</v>
      </c>
      <c r="Z167" s="24">
        <v>44042</v>
      </c>
      <c r="AA167" s="26">
        <v>162</v>
      </c>
      <c r="AB167" s="25">
        <f t="shared" si="20"/>
        <v>0.82839489329724458</v>
      </c>
      <c r="AC167" s="25">
        <f t="shared" si="21"/>
        <v>0.81405091568522892</v>
      </c>
      <c r="AD167" s="25">
        <f t="shared" si="22"/>
        <v>0.8705448033381582</v>
      </c>
      <c r="AE167" s="25">
        <f t="shared" si="23"/>
        <v>0.93690461059133645</v>
      </c>
      <c r="AF167" s="25">
        <f t="shared" si="24"/>
        <v>0.93442430803198939</v>
      </c>
      <c r="AH167" s="25">
        <f t="shared" si="25"/>
        <v>2.1295921623442071E-3</v>
      </c>
      <c r="AI167" s="25">
        <f t="shared" si="25"/>
        <v>1.990214276345853E-3</v>
      </c>
      <c r="AJ167" s="25">
        <f t="shared" si="25"/>
        <v>9.2255062598572413E-3</v>
      </c>
      <c r="AK167" s="25">
        <f t="shared" si="19"/>
        <v>2.1796343363787149E-2</v>
      </c>
      <c r="AL167" s="25">
        <f t="shared" si="26"/>
        <v>-4.6745055918719913E-3</v>
      </c>
    </row>
    <row r="168" spans="1:38" x14ac:dyDescent="0.2">
      <c r="A168" s="24">
        <v>44047</v>
      </c>
      <c r="B168" s="25">
        <v>43.881542000000003</v>
      </c>
      <c r="C168" s="25">
        <v>64.052115999999998</v>
      </c>
      <c r="D168" s="25">
        <v>9.3200599999999998</v>
      </c>
      <c r="E168" s="25">
        <v>30.031101</v>
      </c>
      <c r="F168" s="25">
        <v>35.118381999999997</v>
      </c>
      <c r="G168" s="25">
        <v>104.497269</v>
      </c>
      <c r="H168" s="25">
        <v>23.953726</v>
      </c>
      <c r="I168" s="25">
        <v>79.397201999999993</v>
      </c>
      <c r="J168" s="25">
        <v>31.328619</v>
      </c>
      <c r="K168" s="25">
        <v>25.214887999999998</v>
      </c>
      <c r="L168" s="25">
        <v>24946.630859000001</v>
      </c>
      <c r="Z168" s="24">
        <v>44043</v>
      </c>
      <c r="AA168" s="26">
        <v>163</v>
      </c>
      <c r="AB168" s="25">
        <f t="shared" si="20"/>
        <v>0.83016091635633549</v>
      </c>
      <c r="AC168" s="25">
        <f t="shared" si="21"/>
        <v>0.81567266471803102</v>
      </c>
      <c r="AD168" s="25">
        <f t="shared" si="22"/>
        <v>0.87861318007603384</v>
      </c>
      <c r="AE168" s="25">
        <f t="shared" si="23"/>
        <v>0.95754988357136606</v>
      </c>
      <c r="AF168" s="25">
        <f t="shared" si="24"/>
        <v>0.93006652954401603</v>
      </c>
      <c r="AH168" s="25">
        <f t="shared" si="25"/>
        <v>-7.8379215490878562E-3</v>
      </c>
      <c r="AI168" s="25">
        <f t="shared" si="25"/>
        <v>-8.0571990934825144E-3</v>
      </c>
      <c r="AJ168" s="25">
        <f t="shared" si="25"/>
        <v>2.642316746473139E-3</v>
      </c>
      <c r="AK168" s="25">
        <f t="shared" si="19"/>
        <v>2.0576614600344073E-2</v>
      </c>
      <c r="AL168" s="25">
        <f t="shared" si="26"/>
        <v>-5.5946736748211379E-3</v>
      </c>
    </row>
    <row r="169" spans="1:38" x14ac:dyDescent="0.2">
      <c r="A169" s="24">
        <v>44048</v>
      </c>
      <c r="B169" s="25">
        <v>43.499592</v>
      </c>
      <c r="C169" s="25">
        <v>64.138679999999994</v>
      </c>
      <c r="D169" s="25">
        <v>9.2700420000000001</v>
      </c>
      <c r="E169" s="25">
        <v>30.298836000000001</v>
      </c>
      <c r="F169" s="25">
        <v>35.037734999999998</v>
      </c>
      <c r="G169" s="25">
        <v>104.497269</v>
      </c>
      <c r="H169" s="25">
        <v>23.953726</v>
      </c>
      <c r="I169" s="25">
        <v>79.521011000000001</v>
      </c>
      <c r="J169" s="25">
        <v>31.489691000000001</v>
      </c>
      <c r="K169" s="25">
        <v>25.931584999999998</v>
      </c>
      <c r="L169" s="25">
        <v>25102.539063</v>
      </c>
      <c r="Z169" s="24">
        <v>44046</v>
      </c>
      <c r="AA169" s="26">
        <v>164</v>
      </c>
      <c r="AB169" s="25">
        <f t="shared" si="20"/>
        <v>0.82367961337343776</v>
      </c>
      <c r="AC169" s="25">
        <f t="shared" si="21"/>
        <v>0.80912703280403708</v>
      </c>
      <c r="AD169" s="25">
        <f t="shared" si="22"/>
        <v>0.88093782426603329</v>
      </c>
      <c r="AE169" s="25">
        <f t="shared" si="23"/>
        <v>0.97745712794976358</v>
      </c>
      <c r="AF169" s="25">
        <f t="shared" si="24"/>
        <v>0.92487763942333368</v>
      </c>
      <c r="AH169" s="25">
        <f t="shared" si="25"/>
        <v>1.9932868609636917E-2</v>
      </c>
      <c r="AI169" s="25">
        <f t="shared" si="25"/>
        <v>1.709431444028503E-2</v>
      </c>
      <c r="AJ169" s="25">
        <f t="shared" si="25"/>
        <v>1.0845086711807339E-2</v>
      </c>
      <c r="AK169" s="25">
        <f t="shared" si="19"/>
        <v>-4.8146587614905818E-3</v>
      </c>
      <c r="AL169" s="25">
        <f t="shared" si="26"/>
        <v>1.9776066259385772E-2</v>
      </c>
    </row>
    <row r="170" spans="1:38" x14ac:dyDescent="0.2">
      <c r="A170" s="24">
        <v>44049</v>
      </c>
      <c r="B170" s="25">
        <v>43.202530000000003</v>
      </c>
      <c r="C170" s="25">
        <v>63.878998000000003</v>
      </c>
      <c r="D170" s="25">
        <v>9.2033509999999996</v>
      </c>
      <c r="E170" s="25">
        <v>29.897231999999999</v>
      </c>
      <c r="F170" s="25">
        <v>34.513576999999998</v>
      </c>
      <c r="G170" s="25">
        <v>104.848511</v>
      </c>
      <c r="H170" s="25">
        <v>23.91292</v>
      </c>
      <c r="I170" s="25">
        <v>79.314673999999997</v>
      </c>
      <c r="J170" s="25">
        <v>31.409158999999999</v>
      </c>
      <c r="K170" s="25">
        <v>25.442926</v>
      </c>
      <c r="L170" s="25">
        <v>24930.580077999999</v>
      </c>
      <c r="Z170" s="24">
        <v>44047</v>
      </c>
      <c r="AA170" s="26">
        <v>165</v>
      </c>
      <c r="AB170" s="25">
        <f t="shared" si="20"/>
        <v>0.84026263542389912</v>
      </c>
      <c r="AC170" s="25">
        <f t="shared" si="21"/>
        <v>0.82307740100730564</v>
      </c>
      <c r="AD170" s="25">
        <f t="shared" si="22"/>
        <v>0.89054366529758289</v>
      </c>
      <c r="AE170" s="25">
        <f t="shared" si="23"/>
        <v>0.97276231645153033</v>
      </c>
      <c r="AF170" s="25">
        <f t="shared" si="24"/>
        <v>0.94335013552137659</v>
      </c>
      <c r="AH170" s="25">
        <f t="shared" si="25"/>
        <v>2.4237745707562375E-3</v>
      </c>
      <c r="AI170" s="25">
        <f t="shared" si="25"/>
        <v>1.7265056158273506E-3</v>
      </c>
      <c r="AJ170" s="25">
        <f t="shared" si="25"/>
        <v>-2.2095020166940232E-3</v>
      </c>
      <c r="AK170" s="25">
        <f t="shared" si="19"/>
        <v>-1.0433517833674372E-2</v>
      </c>
      <c r="AL170" s="25">
        <f t="shared" si="26"/>
        <v>6.2302215421077278E-3</v>
      </c>
    </row>
    <row r="171" spans="1:38" x14ac:dyDescent="0.2">
      <c r="A171" s="24">
        <v>44050</v>
      </c>
      <c r="B171" s="25">
        <v>42.268878999999998</v>
      </c>
      <c r="C171" s="25">
        <v>64.398337999999995</v>
      </c>
      <c r="D171" s="25">
        <v>9.1199879999999993</v>
      </c>
      <c r="E171" s="25">
        <v>29.272514000000001</v>
      </c>
      <c r="F171" s="25">
        <v>34.432941</v>
      </c>
      <c r="G171" s="25">
        <v>103.53132600000001</v>
      </c>
      <c r="H171" s="25">
        <v>23.586463999999999</v>
      </c>
      <c r="I171" s="25">
        <v>78.076674999999994</v>
      </c>
      <c r="J171" s="25">
        <v>30.885667999999999</v>
      </c>
      <c r="K171" s="25">
        <v>25.377773000000001</v>
      </c>
      <c r="L171" s="25">
        <v>24531.619140999999</v>
      </c>
      <c r="Z171" s="24">
        <v>44048</v>
      </c>
      <c r="AA171" s="26">
        <v>166</v>
      </c>
      <c r="AB171" s="25">
        <f t="shared" si="20"/>
        <v>0.8423017127660567</v>
      </c>
      <c r="AC171" s="25">
        <f t="shared" si="21"/>
        <v>0.82449967619215658</v>
      </c>
      <c r="AD171" s="25">
        <f t="shared" si="22"/>
        <v>0.88857817944523965</v>
      </c>
      <c r="AE171" s="25">
        <f t="shared" si="23"/>
        <v>0.96266574643767255</v>
      </c>
      <c r="AF171" s="25">
        <f t="shared" si="24"/>
        <v>0.94924576231777946</v>
      </c>
      <c r="AH171" s="25">
        <f t="shared" si="25"/>
        <v>-5.0284472404018565E-3</v>
      </c>
      <c r="AI171" s="25">
        <f t="shared" si="25"/>
        <v>-5.9914406858658786E-3</v>
      </c>
      <c r="AJ171" s="25">
        <f t="shared" si="25"/>
        <v>-7.879024559172873E-3</v>
      </c>
      <c r="AK171" s="25">
        <f t="shared" si="19"/>
        <v>-1.4235559456334833E-2</v>
      </c>
      <c r="AL171" s="25">
        <f t="shared" si="26"/>
        <v>-6.8738333741471536E-3</v>
      </c>
    </row>
    <row r="172" spans="1:38" x14ac:dyDescent="0.2">
      <c r="A172" s="24">
        <v>44053</v>
      </c>
      <c r="B172" s="25">
        <v>42.268878999999998</v>
      </c>
      <c r="C172" s="25">
        <v>64.225234999999998</v>
      </c>
      <c r="D172" s="25">
        <v>9.1366610000000001</v>
      </c>
      <c r="E172" s="25">
        <v>29.540251000000001</v>
      </c>
      <c r="F172" s="25">
        <v>34.553902000000001</v>
      </c>
      <c r="G172" s="25">
        <v>103.53132600000001</v>
      </c>
      <c r="H172" s="25">
        <v>23.749690999999999</v>
      </c>
      <c r="I172" s="25">
        <v>78.365532000000002</v>
      </c>
      <c r="J172" s="25">
        <v>31.046741000000001</v>
      </c>
      <c r="K172" s="25">
        <v>25.345192000000001</v>
      </c>
      <c r="L172" s="25">
        <v>24377.429688</v>
      </c>
      <c r="Z172" s="24">
        <v>44049</v>
      </c>
      <c r="AA172" s="26">
        <v>167</v>
      </c>
      <c r="AB172" s="25">
        <f t="shared" si="20"/>
        <v>0.83807687413417475</v>
      </c>
      <c r="AC172" s="25">
        <f t="shared" si="21"/>
        <v>0.81957450445727464</v>
      </c>
      <c r="AD172" s="25">
        <f t="shared" si="22"/>
        <v>0.88160455888673039</v>
      </c>
      <c r="AE172" s="25">
        <f t="shared" si="23"/>
        <v>0.94905874241389543</v>
      </c>
      <c r="AF172" s="25">
        <f t="shared" si="24"/>
        <v>0.94274317955537235</v>
      </c>
      <c r="AH172" s="25">
        <f t="shared" si="25"/>
        <v>-1.220703016964475E-2</v>
      </c>
      <c r="AI172" s="25">
        <f t="shared" si="25"/>
        <v>-1.0883618784418181E-2</v>
      </c>
      <c r="AJ172" s="25">
        <f t="shared" si="25"/>
        <v>-3.764636176210423E-3</v>
      </c>
      <c r="AK172" s="25">
        <f t="shared" si="19"/>
        <v>1.121176950625262E-2</v>
      </c>
      <c r="AL172" s="25">
        <f t="shared" si="26"/>
        <v>-1.6132302880471627E-2</v>
      </c>
    </row>
    <row r="173" spans="1:38" x14ac:dyDescent="0.2">
      <c r="A173" s="24">
        <v>44054</v>
      </c>
      <c r="B173" s="25">
        <v>43.414721999999998</v>
      </c>
      <c r="C173" s="25">
        <v>65.177338000000006</v>
      </c>
      <c r="D173" s="25">
        <v>9.2200240000000004</v>
      </c>
      <c r="E173" s="25">
        <v>30.432703</v>
      </c>
      <c r="F173" s="25">
        <v>34.795817999999997</v>
      </c>
      <c r="G173" s="25">
        <v>105.375389</v>
      </c>
      <c r="H173" s="25">
        <v>24.116955000000001</v>
      </c>
      <c r="I173" s="25">
        <v>80.387619000000001</v>
      </c>
      <c r="J173" s="25">
        <v>31.691030999999999</v>
      </c>
      <c r="K173" s="25">
        <v>25.833857999999999</v>
      </c>
      <c r="L173" s="25">
        <v>24890.679688</v>
      </c>
      <c r="Z173" s="24">
        <v>44050</v>
      </c>
      <c r="AA173" s="26">
        <v>168</v>
      </c>
      <c r="AB173" s="25">
        <f t="shared" si="20"/>
        <v>0.82790863272711901</v>
      </c>
      <c r="AC173" s="25">
        <f t="shared" si="21"/>
        <v>0.81070293295840479</v>
      </c>
      <c r="AD173" s="25">
        <f t="shared" si="22"/>
        <v>0.87829187790297858</v>
      </c>
      <c r="AE173" s="25">
        <f t="shared" si="23"/>
        <v>0.95975924396936907</v>
      </c>
      <c r="AF173" s="25">
        <f t="shared" si="24"/>
        <v>0.92765657903949916</v>
      </c>
      <c r="AH173" s="25">
        <f t="shared" si="25"/>
        <v>3.3665016411969506E-3</v>
      </c>
      <c r="AI173" s="25">
        <f t="shared" si="25"/>
        <v>3.0565701196454687E-3</v>
      </c>
      <c r="AJ173" s="25">
        <f t="shared" si="25"/>
        <v>1.4379459649761783E-3</v>
      </c>
      <c r="AK173" s="25">
        <f t="shared" si="19"/>
        <v>-1.9349898031217755E-3</v>
      </c>
      <c r="AL173" s="25">
        <f t="shared" si="26"/>
        <v>-6.3051712315207453E-3</v>
      </c>
    </row>
    <row r="174" spans="1:38" x14ac:dyDescent="0.2">
      <c r="A174" s="24">
        <v>44055</v>
      </c>
      <c r="B174" s="25">
        <v>44.518124</v>
      </c>
      <c r="C174" s="25">
        <v>65.826530000000005</v>
      </c>
      <c r="D174" s="25">
        <v>9.4867869999999996</v>
      </c>
      <c r="E174" s="25">
        <v>31.905259999999998</v>
      </c>
      <c r="F174" s="25">
        <v>35.400607999999998</v>
      </c>
      <c r="G174" s="25">
        <v>110.819778</v>
      </c>
      <c r="H174" s="25">
        <v>24.688253</v>
      </c>
      <c r="I174" s="25">
        <v>82.079536000000004</v>
      </c>
      <c r="J174" s="25">
        <v>32.415858999999998</v>
      </c>
      <c r="K174" s="25">
        <v>26.908909000000001</v>
      </c>
      <c r="L174" s="25">
        <v>25244.019531000002</v>
      </c>
      <c r="Z174" s="24">
        <v>44053</v>
      </c>
      <c r="AA174" s="26">
        <v>169</v>
      </c>
      <c r="AB174" s="25">
        <f t="shared" si="20"/>
        <v>0.83070048524925577</v>
      </c>
      <c r="AC174" s="25">
        <f t="shared" si="21"/>
        <v>0.81318469422568196</v>
      </c>
      <c r="AD174" s="25">
        <f t="shared" si="22"/>
        <v>0.87955572261731441</v>
      </c>
      <c r="AE174" s="25">
        <f t="shared" si="23"/>
        <v>0.95790391521883456</v>
      </c>
      <c r="AF174" s="25">
        <f t="shared" si="24"/>
        <v>0.92182594634983317</v>
      </c>
      <c r="AH174" s="25">
        <f t="shared" si="25"/>
        <v>1.8698363782316402E-2</v>
      </c>
      <c r="AI174" s="25">
        <f t="shared" si="25"/>
        <v>1.7825601948862152E-2</v>
      </c>
      <c r="AJ174" s="25">
        <f t="shared" si="25"/>
        <v>1.1764880745004619E-2</v>
      </c>
      <c r="AK174" s="25">
        <f t="shared" si="19"/>
        <v>-6.5435241279116624E-4</v>
      </c>
      <c r="AL174" s="25">
        <f t="shared" si="26"/>
        <v>2.0835732256486494E-2</v>
      </c>
    </row>
    <row r="175" spans="1:38" x14ac:dyDescent="0.2">
      <c r="A175" s="24">
        <v>44056</v>
      </c>
      <c r="B175" s="25">
        <v>44.390808</v>
      </c>
      <c r="C175" s="25">
        <v>65.263901000000004</v>
      </c>
      <c r="D175" s="25">
        <v>9.4034230000000001</v>
      </c>
      <c r="E175" s="25">
        <v>31.592898999999999</v>
      </c>
      <c r="F175" s="25">
        <v>35.319969</v>
      </c>
      <c r="G175" s="25">
        <v>109.502579</v>
      </c>
      <c r="H175" s="25">
        <v>24.688253</v>
      </c>
      <c r="I175" s="25">
        <v>82.533493000000007</v>
      </c>
      <c r="J175" s="25">
        <v>32.295054999999998</v>
      </c>
      <c r="K175" s="25">
        <v>27.462724999999999</v>
      </c>
      <c r="L175" s="25">
        <v>25230.669922000001</v>
      </c>
      <c r="Z175" s="24">
        <v>44054</v>
      </c>
      <c r="AA175" s="26">
        <v>170</v>
      </c>
      <c r="AB175" s="25">
        <f t="shared" si="20"/>
        <v>0.84637935288935251</v>
      </c>
      <c r="AC175" s="25">
        <f t="shared" si="21"/>
        <v>0.82781016755798786</v>
      </c>
      <c r="AD175" s="25">
        <f t="shared" si="22"/>
        <v>0.88996470093608027</v>
      </c>
      <c r="AE175" s="25">
        <f t="shared" si="23"/>
        <v>0.95727731351221634</v>
      </c>
      <c r="AF175" s="25">
        <f t="shared" si="24"/>
        <v>0.94123435704035618</v>
      </c>
      <c r="AH175" s="25">
        <f t="shared" si="25"/>
        <v>2.5562076309927906E-2</v>
      </c>
      <c r="AI175" s="25">
        <f t="shared" si="25"/>
        <v>2.5672834473842387E-2</v>
      </c>
      <c r="AJ175" s="25">
        <f t="shared" si="25"/>
        <v>1.7484282491949721E-2</v>
      </c>
      <c r="AK175" s="25">
        <f t="shared" si="19"/>
        <v>2.8256034084492426E-3</v>
      </c>
      <c r="AL175" s="25">
        <f t="shared" si="26"/>
        <v>1.4095853730074381E-2</v>
      </c>
    </row>
    <row r="176" spans="1:38" x14ac:dyDescent="0.2">
      <c r="A176" s="24">
        <v>44057</v>
      </c>
      <c r="B176" s="25">
        <v>44.136177000000004</v>
      </c>
      <c r="C176" s="25">
        <v>65.783241000000004</v>
      </c>
      <c r="D176" s="25">
        <v>9.3367330000000006</v>
      </c>
      <c r="E176" s="25">
        <v>30.968178000000002</v>
      </c>
      <c r="F176" s="25">
        <v>35.763492999999997</v>
      </c>
      <c r="G176" s="25">
        <v>110.386398</v>
      </c>
      <c r="H176" s="25">
        <v>24.565832</v>
      </c>
      <c r="I176" s="25">
        <v>81.914473999999998</v>
      </c>
      <c r="J176" s="25">
        <v>32.375594999999997</v>
      </c>
      <c r="K176" s="25">
        <v>26.648292999999999</v>
      </c>
      <c r="L176" s="25">
        <v>25183.009765999999</v>
      </c>
      <c r="Z176" s="24">
        <v>44055</v>
      </c>
      <c r="AA176" s="26">
        <v>171</v>
      </c>
      <c r="AB176" s="25">
        <f t="shared" si="20"/>
        <v>0.86829345826590587</v>
      </c>
      <c r="AC176" s="25">
        <f t="shared" si="21"/>
        <v>0.8493375530996301</v>
      </c>
      <c r="AD176" s="25">
        <f t="shared" si="22"/>
        <v>0.90566192261937439</v>
      </c>
      <c r="AE176" s="25">
        <f t="shared" si="23"/>
        <v>0.95998602462157578</v>
      </c>
      <c r="AF176" s="25">
        <f t="shared" si="24"/>
        <v>0.95459580815826939</v>
      </c>
      <c r="AH176" s="25">
        <f t="shared" si="25"/>
        <v>-3.3326159216849616E-3</v>
      </c>
      <c r="AI176" s="25">
        <f t="shared" si="25"/>
        <v>-3.8777040379923688E-3</v>
      </c>
      <c r="AJ176" s="25">
        <f t="shared" si="25"/>
        <v>-5.2045870194456084E-3</v>
      </c>
      <c r="AK176" s="25">
        <f t="shared" si="19"/>
        <v>-8.2240489391372379E-3</v>
      </c>
      <c r="AL176" s="25">
        <f t="shared" si="26"/>
        <v>-5.2896251392375859E-4</v>
      </c>
    </row>
    <row r="177" spans="1:38" x14ac:dyDescent="0.2">
      <c r="A177" s="24">
        <v>44060</v>
      </c>
      <c r="B177" s="25">
        <v>44.433242999999997</v>
      </c>
      <c r="C177" s="25">
        <v>66.216048999999998</v>
      </c>
      <c r="D177" s="25">
        <v>9.4200940000000006</v>
      </c>
      <c r="E177" s="25">
        <v>30.878928999999999</v>
      </c>
      <c r="F177" s="25">
        <v>36.086052000000002</v>
      </c>
      <c r="G177" s="25">
        <v>109.50258599999999</v>
      </c>
      <c r="H177" s="25">
        <v>24.810675</v>
      </c>
      <c r="I177" s="25">
        <v>81.336753999999999</v>
      </c>
      <c r="J177" s="25">
        <v>32.697738999999999</v>
      </c>
      <c r="K177" s="25">
        <v>27.039214999999999</v>
      </c>
      <c r="L177" s="25">
        <v>25347.339843999998</v>
      </c>
      <c r="Z177" s="24">
        <v>44056</v>
      </c>
      <c r="AA177" s="26">
        <v>172</v>
      </c>
      <c r="AB177" s="25">
        <f t="shared" si="20"/>
        <v>0.86540458608663406</v>
      </c>
      <c r="AC177" s="25">
        <f t="shared" si="21"/>
        <v>0.84605045076425611</v>
      </c>
      <c r="AD177" s="25">
        <f t="shared" si="22"/>
        <v>0.9009605712414861</v>
      </c>
      <c r="AE177" s="25">
        <f t="shared" si="23"/>
        <v>0.95212342807907457</v>
      </c>
      <c r="AF177" s="25">
        <f t="shared" si="24"/>
        <v>0.95409099628485505</v>
      </c>
      <c r="AH177" s="25">
        <f t="shared" si="25"/>
        <v>-9.9751143895343564E-4</v>
      </c>
      <c r="AI177" s="25">
        <f t="shared" si="25"/>
        <v>-7.979356299259166E-4</v>
      </c>
      <c r="AJ177" s="25">
        <f t="shared" si="25"/>
        <v>6.2449110799647489E-3</v>
      </c>
      <c r="AK177" s="25">
        <f t="shared" si="19"/>
        <v>1.9417994872590209E-2</v>
      </c>
      <c r="AL177" s="25">
        <f t="shared" si="26"/>
        <v>-1.8907633996825268E-3</v>
      </c>
    </row>
    <row r="178" spans="1:38" x14ac:dyDescent="0.2">
      <c r="A178" s="24">
        <v>44061</v>
      </c>
      <c r="B178" s="25">
        <v>44.263496000000004</v>
      </c>
      <c r="C178" s="25">
        <v>65.913077999999999</v>
      </c>
      <c r="D178" s="25">
        <v>9.2533689999999993</v>
      </c>
      <c r="E178" s="25">
        <v>30.566573999999999</v>
      </c>
      <c r="F178" s="25">
        <v>35.682850000000002</v>
      </c>
      <c r="G178" s="25">
        <v>108.61879</v>
      </c>
      <c r="H178" s="25">
        <v>24.565832</v>
      </c>
      <c r="I178" s="25">
        <v>81.501816000000005</v>
      </c>
      <c r="J178" s="25">
        <v>32.858809999999998</v>
      </c>
      <c r="K178" s="25">
        <v>26.974063999999998</v>
      </c>
      <c r="L178" s="25">
        <v>25367.380859000001</v>
      </c>
      <c r="Z178" s="24">
        <v>44057</v>
      </c>
      <c r="AA178" s="26">
        <v>173</v>
      </c>
      <c r="AB178" s="25">
        <f t="shared" si="20"/>
        <v>0.86454176552092621</v>
      </c>
      <c r="AC178" s="25">
        <f t="shared" si="21"/>
        <v>0.84537562623394991</v>
      </c>
      <c r="AD178" s="25">
        <f t="shared" si="22"/>
        <v>0.90660459476540955</v>
      </c>
      <c r="AE178" s="25">
        <f t="shared" si="23"/>
        <v>0.97079242657707587</v>
      </c>
      <c r="AF178" s="25">
        <f t="shared" si="24"/>
        <v>0.95228874030585375</v>
      </c>
      <c r="AH178" s="25">
        <f t="shared" si="25"/>
        <v>5.983449755023823E-3</v>
      </c>
      <c r="AI178" s="25">
        <f t="shared" si="25"/>
        <v>5.7599559643341236E-3</v>
      </c>
      <c r="AJ178" s="25">
        <f t="shared" si="25"/>
        <v>8.2906216140146843E-3</v>
      </c>
      <c r="AK178" s="25">
        <f t="shared" si="19"/>
        <v>1.2856011119123233E-2</v>
      </c>
      <c r="AL178" s="25">
        <f t="shared" si="26"/>
        <v>6.5042359137059691E-3</v>
      </c>
    </row>
    <row r="179" spans="1:38" x14ac:dyDescent="0.2">
      <c r="A179" s="24">
        <v>44062</v>
      </c>
      <c r="B179" s="25">
        <v>43.923980999999998</v>
      </c>
      <c r="C179" s="25">
        <v>66.302574000000007</v>
      </c>
      <c r="D179" s="25">
        <v>9.236694</v>
      </c>
      <c r="E179" s="25">
        <v>30.477329000000001</v>
      </c>
      <c r="F179" s="25">
        <v>35.763492999999997</v>
      </c>
      <c r="G179" s="25">
        <v>108.530411</v>
      </c>
      <c r="H179" s="25">
        <v>24.688253</v>
      </c>
      <c r="I179" s="25">
        <v>81.708152999999996</v>
      </c>
      <c r="J179" s="25">
        <v>32.939354000000002</v>
      </c>
      <c r="K179" s="25">
        <v>27.267261999999999</v>
      </c>
      <c r="L179" s="25">
        <v>25178.910156000002</v>
      </c>
      <c r="Z179" s="24">
        <v>44060</v>
      </c>
      <c r="AA179" s="26">
        <v>174</v>
      </c>
      <c r="AB179" s="25">
        <f t="shared" si="20"/>
        <v>0.86973021466884526</v>
      </c>
      <c r="AC179" s="25">
        <f t="shared" si="21"/>
        <v>0.85025900313097436</v>
      </c>
      <c r="AD179" s="25">
        <f t="shared" si="22"/>
        <v>0.91415215416230255</v>
      </c>
      <c r="AE179" s="25">
        <f t="shared" si="23"/>
        <v>0.98335351454635433</v>
      </c>
      <c r="AF179" s="25">
        <f t="shared" si="24"/>
        <v>0.95850283800216085</v>
      </c>
      <c r="AH179" s="25">
        <f t="shared" si="25"/>
        <v>-2.9347671239985662E-3</v>
      </c>
      <c r="AI179" s="25">
        <f t="shared" si="25"/>
        <v>-4.6876759054352291E-3</v>
      </c>
      <c r="AJ179" s="25">
        <f t="shared" si="25"/>
        <v>-8.1360964052824419E-3</v>
      </c>
      <c r="AK179" s="25">
        <f t="shared" si="19"/>
        <v>-1.7905984458955283E-2</v>
      </c>
      <c r="AL179" s="25">
        <f t="shared" si="26"/>
        <v>7.9034314950021667E-4</v>
      </c>
    </row>
    <row r="180" spans="1:38" x14ac:dyDescent="0.2">
      <c r="A180" s="24">
        <v>44063</v>
      </c>
      <c r="B180" s="25">
        <v>42.905456999999998</v>
      </c>
      <c r="C180" s="25">
        <v>64.917670999999999</v>
      </c>
      <c r="D180" s="25">
        <v>9.1366610000000001</v>
      </c>
      <c r="E180" s="25">
        <v>30.031101</v>
      </c>
      <c r="F180" s="25">
        <v>35.199016999999998</v>
      </c>
      <c r="G180" s="25">
        <v>107.38145400000001</v>
      </c>
      <c r="H180" s="25">
        <v>24.320988</v>
      </c>
      <c r="I180" s="25">
        <v>81.460541000000006</v>
      </c>
      <c r="J180" s="25">
        <v>32.254787</v>
      </c>
      <c r="K180" s="25">
        <v>26.583131999999999</v>
      </c>
      <c r="L180" s="25">
        <v>24791.390625</v>
      </c>
      <c r="Z180" s="24">
        <v>44061</v>
      </c>
      <c r="AA180" s="26">
        <v>175</v>
      </c>
      <c r="AB180" s="25">
        <f t="shared" si="20"/>
        <v>0.86718150079823386</v>
      </c>
      <c r="AC180" s="25">
        <f t="shared" si="21"/>
        <v>0.84628259183390198</v>
      </c>
      <c r="AD180" s="25">
        <f t="shared" si="22"/>
        <v>0.9067446988541813</v>
      </c>
      <c r="AE180" s="25">
        <f t="shared" si="23"/>
        <v>0.96590230857951431</v>
      </c>
      <c r="AF180" s="25">
        <f t="shared" si="24"/>
        <v>0.95926068359353933</v>
      </c>
      <c r="AH180" s="25">
        <f t="shared" si="25"/>
        <v>1.7761910061000752E-3</v>
      </c>
      <c r="AI180" s="25">
        <f t="shared" si="25"/>
        <v>1.5210745216557853E-3</v>
      </c>
      <c r="AJ180" s="25">
        <f t="shared" si="25"/>
        <v>2.0072017554886995E-3</v>
      </c>
      <c r="AK180" s="25">
        <f t="shared" si="19"/>
        <v>2.1128992717241377E-3</v>
      </c>
      <c r="AL180" s="25">
        <f t="shared" si="26"/>
        <v>-7.4573850092622962E-3</v>
      </c>
    </row>
    <row r="181" spans="1:38" x14ac:dyDescent="0.2">
      <c r="A181" s="24">
        <v>44064</v>
      </c>
      <c r="B181" s="25">
        <v>43.329844999999999</v>
      </c>
      <c r="C181" s="25">
        <v>65.177338000000006</v>
      </c>
      <c r="D181" s="25">
        <v>9.2867149999999992</v>
      </c>
      <c r="E181" s="25">
        <v>30.031101</v>
      </c>
      <c r="F181" s="25">
        <v>35.319969</v>
      </c>
      <c r="G181" s="25">
        <v>106.851196</v>
      </c>
      <c r="H181" s="25">
        <v>25.014707999999999</v>
      </c>
      <c r="I181" s="25">
        <v>82.409690999999995</v>
      </c>
      <c r="J181" s="25">
        <v>32.617198999999999</v>
      </c>
      <c r="K181" s="25">
        <v>26.778599</v>
      </c>
      <c r="L181" s="25">
        <v>25113.839843999998</v>
      </c>
      <c r="Z181" s="24">
        <v>44062</v>
      </c>
      <c r="AA181" s="26">
        <v>176</v>
      </c>
      <c r="AB181" s="25">
        <f t="shared" si="20"/>
        <v>0.8687231495065868</v>
      </c>
      <c r="AC181" s="25">
        <f t="shared" si="21"/>
        <v>0.84757083022738078</v>
      </c>
      <c r="AD181" s="25">
        <f t="shared" si="22"/>
        <v>0.90856654620143451</v>
      </c>
      <c r="AE181" s="25">
        <f t="shared" si="23"/>
        <v>0.96794532044294901</v>
      </c>
      <c r="AF181" s="25">
        <f t="shared" si="24"/>
        <v>0.95213371465646079</v>
      </c>
      <c r="AH181" s="25">
        <f t="shared" si="25"/>
        <v>-1.706408078137811E-2</v>
      </c>
      <c r="AI181" s="25">
        <f t="shared" si="25"/>
        <v>-1.6777883065980409E-2</v>
      </c>
      <c r="AJ181" s="25">
        <f t="shared" si="25"/>
        <v>-1.6884711873581371E-2</v>
      </c>
      <c r="AK181" s="25">
        <f t="shared" si="19"/>
        <v>-1.7123106917336747E-2</v>
      </c>
      <c r="AL181" s="25">
        <f t="shared" si="26"/>
        <v>-1.5510304868914915E-2</v>
      </c>
    </row>
    <row r="182" spans="1:38" x14ac:dyDescent="0.2">
      <c r="A182" s="24">
        <v>44067</v>
      </c>
      <c r="B182" s="25">
        <v>43.796664999999997</v>
      </c>
      <c r="C182" s="25">
        <v>65.653426999999994</v>
      </c>
      <c r="D182" s="25">
        <v>9.3700770000000002</v>
      </c>
      <c r="E182" s="25">
        <v>30.254218999999999</v>
      </c>
      <c r="F182" s="25">
        <v>35.642536</v>
      </c>
      <c r="G182" s="25">
        <v>108.442032</v>
      </c>
      <c r="H182" s="25">
        <v>25.300356000000001</v>
      </c>
      <c r="I182" s="25">
        <v>84.101624000000001</v>
      </c>
      <c r="J182" s="25">
        <v>32.899078000000003</v>
      </c>
      <c r="K182" s="25">
        <v>28.146847000000001</v>
      </c>
      <c r="L182" s="25">
        <v>25551.580077999999</v>
      </c>
      <c r="Z182" s="24">
        <v>44063</v>
      </c>
      <c r="AA182" s="26">
        <v>177</v>
      </c>
      <c r="AB182" s="25">
        <f t="shared" si="20"/>
        <v>0.85402494979395138</v>
      </c>
      <c r="AC182" s="25">
        <f t="shared" si="21"/>
        <v>0.833469016042797</v>
      </c>
      <c r="AD182" s="25">
        <f t="shared" si="22"/>
        <v>0.89335444919245122</v>
      </c>
      <c r="AE182" s="25">
        <f t="shared" si="23"/>
        <v>0.95151218392309966</v>
      </c>
      <c r="AF182" s="25">
        <f t="shared" si="24"/>
        <v>0.93747976783084574</v>
      </c>
      <c r="AH182" s="25">
        <f t="shared" si="25"/>
        <v>9.7494976775464037E-3</v>
      </c>
      <c r="AI182" s="25">
        <f t="shared" si="25"/>
        <v>8.8837301134823132E-3</v>
      </c>
      <c r="AJ182" s="25">
        <f t="shared" si="25"/>
        <v>8.3256939143150077E-3</v>
      </c>
      <c r="AK182" s="25">
        <f t="shared" si="19"/>
        <v>4.9111640353891872E-3</v>
      </c>
      <c r="AL182" s="25">
        <f t="shared" si="26"/>
        <v>1.292264170437285E-2</v>
      </c>
    </row>
    <row r="183" spans="1:38" x14ac:dyDescent="0.2">
      <c r="A183" s="24">
        <v>44068</v>
      </c>
      <c r="B183" s="25">
        <v>43.796664999999997</v>
      </c>
      <c r="C183" s="25">
        <v>65.826530000000005</v>
      </c>
      <c r="D183" s="25">
        <v>9.3867499999999993</v>
      </c>
      <c r="E183" s="25">
        <v>30.655816999999999</v>
      </c>
      <c r="F183" s="25">
        <v>36.005412999999997</v>
      </c>
      <c r="G183" s="25">
        <v>108.35365299999999</v>
      </c>
      <c r="H183" s="25">
        <v>24.973901999999999</v>
      </c>
      <c r="I183" s="25">
        <v>83.771484000000001</v>
      </c>
      <c r="J183" s="25">
        <v>32.697738999999999</v>
      </c>
      <c r="K183" s="25">
        <v>27.755922000000002</v>
      </c>
      <c r="L183" s="25">
        <v>25486.220702999999</v>
      </c>
      <c r="Z183" s="24">
        <v>44064</v>
      </c>
      <c r="AA183" s="26">
        <v>178</v>
      </c>
      <c r="AB183" s="25">
        <f t="shared" si="20"/>
        <v>0.86239198497790892</v>
      </c>
      <c r="AC183" s="25">
        <f t="shared" si="21"/>
        <v>0.84090631641090186</v>
      </c>
      <c r="AD183" s="25">
        <f t="shared" si="22"/>
        <v>0.90082329340560741</v>
      </c>
      <c r="AE183" s="25">
        <f t="shared" si="23"/>
        <v>0.95619671016270147</v>
      </c>
      <c r="AF183" s="25">
        <f t="shared" si="24"/>
        <v>0.94967309831148949</v>
      </c>
      <c r="AH183" s="25">
        <f t="shared" si="25"/>
        <v>1.1834139016607764E-2</v>
      </c>
      <c r="AI183" s="25">
        <f t="shared" si="25"/>
        <v>1.1529505214385283E-2</v>
      </c>
      <c r="AJ183" s="25">
        <f t="shared" si="25"/>
        <v>8.5208342325591852E-3</v>
      </c>
      <c r="AK183" s="25">
        <f t="shared" si="19"/>
        <v>2.6567742815304454E-3</v>
      </c>
      <c r="AL183" s="25">
        <f t="shared" si="26"/>
        <v>1.7280074934422629E-2</v>
      </c>
    </row>
    <row r="184" spans="1:38" x14ac:dyDescent="0.2">
      <c r="A184" s="24">
        <v>44069</v>
      </c>
      <c r="B184" s="25">
        <v>43.329844999999999</v>
      </c>
      <c r="C184" s="25">
        <v>65.350464000000002</v>
      </c>
      <c r="D184" s="25">
        <v>9.2533689999999993</v>
      </c>
      <c r="E184" s="25">
        <v>30.298836000000001</v>
      </c>
      <c r="F184" s="25">
        <v>35.561889999999998</v>
      </c>
      <c r="G184" s="25">
        <v>107.116333</v>
      </c>
      <c r="H184" s="25">
        <v>25.014707999999999</v>
      </c>
      <c r="I184" s="25">
        <v>84.019096000000005</v>
      </c>
      <c r="J184" s="25">
        <v>32.818542000000001</v>
      </c>
      <c r="K184" s="25">
        <v>27.527874000000001</v>
      </c>
      <c r="L184" s="25">
        <v>25491.789063</v>
      </c>
      <c r="Z184" s="24">
        <v>44067</v>
      </c>
      <c r="AA184" s="26">
        <v>179</v>
      </c>
      <c r="AB184" s="25">
        <f t="shared" si="20"/>
        <v>0.87265827817214969</v>
      </c>
      <c r="AC184" s="25">
        <f t="shared" si="21"/>
        <v>0.85065765621250244</v>
      </c>
      <c r="AD184" s="25">
        <f t="shared" si="22"/>
        <v>0.90853185440707429</v>
      </c>
      <c r="AE184" s="25">
        <f t="shared" si="23"/>
        <v>0.95874048661401301</v>
      </c>
      <c r="AF184" s="25">
        <f t="shared" si="24"/>
        <v>0.96622612751214731</v>
      </c>
      <c r="AH184" s="25">
        <f t="shared" si="25"/>
        <v>-2.3378915017445434E-3</v>
      </c>
      <c r="AI184" s="25">
        <f t="shared" si="25"/>
        <v>-6.4611128543226592E-4</v>
      </c>
      <c r="AJ184" s="25">
        <f t="shared" si="25"/>
        <v>3.0918563926439629E-3</v>
      </c>
      <c r="AK184" s="25">
        <f t="shared" si="19"/>
        <v>1.4156524897275233E-2</v>
      </c>
      <c r="AL184" s="25">
        <f t="shared" si="26"/>
        <v>-2.5612157941257152E-3</v>
      </c>
    </row>
    <row r="185" spans="1:38" x14ac:dyDescent="0.2">
      <c r="A185" s="24">
        <v>44070</v>
      </c>
      <c r="B185" s="25">
        <v>42.905456999999998</v>
      </c>
      <c r="C185" s="25">
        <v>65.134071000000006</v>
      </c>
      <c r="D185" s="25">
        <v>9.2033509999999996</v>
      </c>
      <c r="E185" s="25">
        <v>29.71874</v>
      </c>
      <c r="F185" s="25">
        <v>35.602210999999997</v>
      </c>
      <c r="G185" s="25">
        <v>106.055786</v>
      </c>
      <c r="H185" s="25">
        <v>24.933095999999999</v>
      </c>
      <c r="I185" s="25">
        <v>83.771484000000001</v>
      </c>
      <c r="J185" s="25">
        <v>32.254787</v>
      </c>
      <c r="K185" s="25">
        <v>27.169525</v>
      </c>
      <c r="L185" s="25">
        <v>25281.150390999999</v>
      </c>
      <c r="Z185" s="24">
        <v>44068</v>
      </c>
      <c r="AA185" s="26">
        <v>180</v>
      </c>
      <c r="AB185" s="25">
        <f t="shared" si="20"/>
        <v>0.87062048080243237</v>
      </c>
      <c r="AC185" s="25">
        <f t="shared" si="21"/>
        <v>0.8501082142202343</v>
      </c>
      <c r="AD185" s="25">
        <f t="shared" si="22"/>
        <v>0.91134525149769341</v>
      </c>
      <c r="AE185" s="25">
        <f t="shared" si="23"/>
        <v>0.97240944437418564</v>
      </c>
      <c r="AF185" s="25">
        <f t="shared" si="24"/>
        <v>0.96375458032758643</v>
      </c>
      <c r="AH185" s="25">
        <f t="shared" si="25"/>
        <v>-3.3836916805678185E-3</v>
      </c>
      <c r="AI185" s="25">
        <f t="shared" si="25"/>
        <v>-5.2519446656765501E-3</v>
      </c>
      <c r="AJ185" s="25">
        <f t="shared" si="25"/>
        <v>-8.6618277555819412E-3</v>
      </c>
      <c r="AK185" s="25">
        <f t="shared" si="19"/>
        <v>-1.9306431120426727E-2</v>
      </c>
      <c r="AL185" s="25">
        <f t="shared" si="26"/>
        <v>2.1846125604874089E-4</v>
      </c>
    </row>
    <row r="186" spans="1:38" x14ac:dyDescent="0.2">
      <c r="A186" s="24">
        <v>44071</v>
      </c>
      <c r="B186" s="25">
        <v>42.990333999999997</v>
      </c>
      <c r="C186" s="25">
        <v>65.480300999999997</v>
      </c>
      <c r="D186" s="25">
        <v>9.3033870000000007</v>
      </c>
      <c r="E186" s="25">
        <v>30.34346</v>
      </c>
      <c r="F186" s="25">
        <v>35.803809999999999</v>
      </c>
      <c r="G186" s="25">
        <v>109.14907100000001</v>
      </c>
      <c r="H186" s="25">
        <v>25.177937</v>
      </c>
      <c r="I186" s="25">
        <v>84.926956000000004</v>
      </c>
      <c r="J186" s="25">
        <v>32.778275000000001</v>
      </c>
      <c r="K186" s="25">
        <v>27.364988</v>
      </c>
      <c r="L186" s="25">
        <v>25422.060547000001</v>
      </c>
      <c r="Z186" s="24">
        <v>44069</v>
      </c>
      <c r="AA186" s="26">
        <v>181</v>
      </c>
      <c r="AB186" s="25">
        <f t="shared" si="20"/>
        <v>0.86767954793563151</v>
      </c>
      <c r="AC186" s="25">
        <f t="shared" si="21"/>
        <v>0.84565519665583289</v>
      </c>
      <c r="AD186" s="25">
        <f t="shared" si="22"/>
        <v>0.90348542527552289</v>
      </c>
      <c r="AE186" s="25">
        <f t="shared" si="23"/>
        <v>0.9538157548532652</v>
      </c>
      <c r="AF186" s="25">
        <f t="shared" si="24"/>
        <v>0.96396514636314934</v>
      </c>
      <c r="AH186" s="25">
        <f t="shared" si="25"/>
        <v>-1.0275317653051036E-2</v>
      </c>
      <c r="AI186" s="25">
        <f t="shared" si="25"/>
        <v>-9.0720706628898695E-3</v>
      </c>
      <c r="AJ186" s="25">
        <f t="shared" si="25"/>
        <v>-3.4312612566824302E-3</v>
      </c>
      <c r="AK186" s="25">
        <f t="shared" si="19"/>
        <v>9.3008393249773696E-3</v>
      </c>
      <c r="AL186" s="25">
        <f t="shared" si="26"/>
        <v>-8.2973285662415464E-3</v>
      </c>
    </row>
    <row r="187" spans="1:38" x14ac:dyDescent="0.2">
      <c r="A187" s="24">
        <v>44074</v>
      </c>
      <c r="B187" s="25">
        <v>43.075214000000003</v>
      </c>
      <c r="C187" s="25">
        <v>65.913077999999999</v>
      </c>
      <c r="D187" s="25">
        <v>9.5056360000000009</v>
      </c>
      <c r="E187" s="25">
        <v>30.16497</v>
      </c>
      <c r="F187" s="25">
        <v>35.803809999999999</v>
      </c>
      <c r="G187" s="25">
        <v>107.73500799999999</v>
      </c>
      <c r="H187" s="25">
        <v>24.933095999999999</v>
      </c>
      <c r="I187" s="25">
        <v>85.999893</v>
      </c>
      <c r="J187" s="25">
        <v>32.415858999999998</v>
      </c>
      <c r="K187" s="25">
        <v>27.495297999999998</v>
      </c>
      <c r="L187" s="25">
        <v>25177.050781000002</v>
      </c>
      <c r="Z187" s="24">
        <v>44070</v>
      </c>
      <c r="AA187" s="26">
        <v>182</v>
      </c>
      <c r="AB187" s="25">
        <f t="shared" si="20"/>
        <v>0.85880951420956886</v>
      </c>
      <c r="AC187" s="25">
        <f t="shared" si="21"/>
        <v>0.83801804771238098</v>
      </c>
      <c r="AD187" s="25">
        <f t="shared" si="22"/>
        <v>0.90039064327896035</v>
      </c>
      <c r="AE187" s="25">
        <f t="shared" si="23"/>
        <v>0.96272842534330416</v>
      </c>
      <c r="AF187" s="25">
        <f t="shared" si="24"/>
        <v>0.95599990164131321</v>
      </c>
      <c r="AH187" s="25">
        <f t="shared" si="25"/>
        <v>1.3113015409440903E-2</v>
      </c>
      <c r="AI187" s="25">
        <f t="shared" si="25"/>
        <v>1.2337213090140908E-2</v>
      </c>
      <c r="AJ187" s="25">
        <f t="shared" si="25"/>
        <v>7.4609946743104255E-3</v>
      </c>
      <c r="AK187" s="25">
        <f t="shared" si="19"/>
        <v>-3.7508941044351041E-3</v>
      </c>
      <c r="AL187" s="25">
        <f t="shared" si="26"/>
        <v>5.5582483305371966E-3</v>
      </c>
    </row>
    <row r="188" spans="1:38" x14ac:dyDescent="0.2">
      <c r="A188" s="24">
        <v>44075</v>
      </c>
      <c r="B188" s="25">
        <v>42.693260000000002</v>
      </c>
      <c r="C188" s="25">
        <v>65.869804000000002</v>
      </c>
      <c r="D188" s="25">
        <v>9.3876570000000008</v>
      </c>
      <c r="E188" s="25">
        <v>29.897231999999999</v>
      </c>
      <c r="F188" s="25">
        <v>35.642536</v>
      </c>
      <c r="G188" s="25">
        <v>106.939575</v>
      </c>
      <c r="H188" s="25">
        <v>24.769867000000001</v>
      </c>
      <c r="I188" s="25">
        <v>83.936546000000007</v>
      </c>
      <c r="J188" s="25">
        <v>32.133983999999998</v>
      </c>
      <c r="K188" s="25">
        <v>27.495297999999998</v>
      </c>
      <c r="L188" s="25">
        <v>25184.849609000001</v>
      </c>
      <c r="Z188" s="24">
        <v>44071</v>
      </c>
      <c r="AA188" s="26">
        <v>183</v>
      </c>
      <c r="AB188" s="25">
        <f t="shared" si="20"/>
        <v>0.87014525705609413</v>
      </c>
      <c r="AC188" s="25">
        <f t="shared" si="21"/>
        <v>0.84842089405809673</v>
      </c>
      <c r="AD188" s="25">
        <f t="shared" si="22"/>
        <v>0.90713357628733449</v>
      </c>
      <c r="AE188" s="25">
        <f t="shared" si="23"/>
        <v>0.95912409692146161</v>
      </c>
      <c r="AF188" s="25">
        <f t="shared" si="24"/>
        <v>0.96132838128693177</v>
      </c>
      <c r="AH188" s="25">
        <f t="shared" si="25"/>
        <v>-2.3847417432599494E-3</v>
      </c>
      <c r="AI188" s="25">
        <f t="shared" si="25"/>
        <v>-8.7338809771833614E-4</v>
      </c>
      <c r="AJ188" s="25">
        <f t="shared" si="25"/>
        <v>4.8659973989721717E-3</v>
      </c>
      <c r="AK188" s="25">
        <f t="shared" si="19"/>
        <v>1.8039345638785294E-2</v>
      </c>
      <c r="AL188" s="25">
        <f t="shared" si="26"/>
        <v>-9.6844262471620368E-3</v>
      </c>
    </row>
    <row r="189" spans="1:38" x14ac:dyDescent="0.2">
      <c r="A189" s="24">
        <v>44076</v>
      </c>
      <c r="B189" s="25">
        <v>42.523505999999998</v>
      </c>
      <c r="C189" s="25">
        <v>65.939635999999993</v>
      </c>
      <c r="D189" s="25">
        <v>9.3876570000000008</v>
      </c>
      <c r="E189" s="25">
        <v>29.584876999999999</v>
      </c>
      <c r="F189" s="25">
        <v>35.521571999999999</v>
      </c>
      <c r="G189" s="25">
        <v>105.967384</v>
      </c>
      <c r="H189" s="25">
        <v>24.686886000000001</v>
      </c>
      <c r="I189" s="25">
        <v>84.019096000000005</v>
      </c>
      <c r="J189" s="25">
        <v>32.21452</v>
      </c>
      <c r="K189" s="25">
        <v>27.430145</v>
      </c>
      <c r="L189" s="25">
        <v>25120.089843999998</v>
      </c>
      <c r="Z189" s="24">
        <v>44074</v>
      </c>
      <c r="AA189" s="26">
        <v>184</v>
      </c>
      <c r="AB189" s="25">
        <f t="shared" si="20"/>
        <v>0.8680726576283172</v>
      </c>
      <c r="AC189" s="25">
        <f t="shared" si="21"/>
        <v>0.84768021684378525</v>
      </c>
      <c r="AD189" s="25">
        <f t="shared" si="22"/>
        <v>0.91155844287374888</v>
      </c>
      <c r="AE189" s="25">
        <f t="shared" si="23"/>
        <v>0.97658306877749224</v>
      </c>
      <c r="AF189" s="25">
        <f t="shared" si="24"/>
        <v>0.95206340289099034</v>
      </c>
      <c r="AH189" s="25">
        <f t="shared" si="25"/>
        <v>-8.7861884461134798E-3</v>
      </c>
      <c r="AI189" s="25">
        <f t="shared" si="25"/>
        <v>-8.255113366612582E-3</v>
      </c>
      <c r="AJ189" s="25">
        <f t="shared" si="25"/>
        <v>-6.3505252743077251E-3</v>
      </c>
      <c r="AK189" s="25">
        <f t="shared" si="19"/>
        <v>-1.4688972971766204E-3</v>
      </c>
      <c r="AL189" s="25">
        <f t="shared" si="26"/>
        <v>3.0971142875735325E-4</v>
      </c>
    </row>
    <row r="190" spans="1:38" x14ac:dyDescent="0.2">
      <c r="A190" s="24">
        <v>44077</v>
      </c>
      <c r="B190" s="25">
        <v>42.565947999999999</v>
      </c>
      <c r="C190" s="25">
        <v>65.503235000000004</v>
      </c>
      <c r="D190" s="25">
        <v>9.3708050000000007</v>
      </c>
      <c r="E190" s="25">
        <v>29.852609999999999</v>
      </c>
      <c r="F190" s="25">
        <v>35.086578000000003</v>
      </c>
      <c r="G190" s="25">
        <v>106.232529</v>
      </c>
      <c r="H190" s="25">
        <v>24.562414</v>
      </c>
      <c r="I190" s="25">
        <v>83.111205999999996</v>
      </c>
      <c r="J190" s="25">
        <v>32.375594999999997</v>
      </c>
      <c r="K190" s="25">
        <v>27.625610000000002</v>
      </c>
      <c r="L190" s="25">
        <v>25007.599609000001</v>
      </c>
      <c r="Z190" s="24">
        <v>44075</v>
      </c>
      <c r="AA190" s="26">
        <v>185</v>
      </c>
      <c r="AB190" s="25">
        <f t="shared" si="20"/>
        <v>0.86047901610671063</v>
      </c>
      <c r="AC190" s="25">
        <f t="shared" si="21"/>
        <v>0.84071132462839715</v>
      </c>
      <c r="AD190" s="25">
        <f t="shared" si="22"/>
        <v>0.90578791029315686</v>
      </c>
      <c r="AE190" s="25">
        <f t="shared" si="23"/>
        <v>0.97514962159838092</v>
      </c>
      <c r="AF190" s="25">
        <f t="shared" si="24"/>
        <v>0.95235831347399813</v>
      </c>
      <c r="AH190" s="25">
        <f t="shared" si="25"/>
        <v>-9.7367534859843508E-4</v>
      </c>
      <c r="AI190" s="25">
        <f t="shared" si="25"/>
        <v>-1.597027344619667E-3</v>
      </c>
      <c r="AJ190" s="25">
        <f t="shared" si="25"/>
        <v>-4.8950776744818847E-4</v>
      </c>
      <c r="AK190" s="25">
        <f t="shared" si="19"/>
        <v>-1.833258597517054E-5</v>
      </c>
      <c r="AL190" s="25">
        <f t="shared" si="26"/>
        <v>-2.5746895425662331E-3</v>
      </c>
    </row>
    <row r="191" spans="1:38" x14ac:dyDescent="0.2">
      <c r="A191" s="24">
        <v>44078</v>
      </c>
      <c r="B191" s="25">
        <v>42.438628999999999</v>
      </c>
      <c r="C191" s="25">
        <v>65.721419999999995</v>
      </c>
      <c r="D191" s="25">
        <v>9.3539490000000001</v>
      </c>
      <c r="E191" s="25">
        <v>29.540251000000001</v>
      </c>
      <c r="F191" s="25">
        <v>35.004508999999999</v>
      </c>
      <c r="G191" s="25">
        <v>105.260361</v>
      </c>
      <c r="H191" s="25">
        <v>24.313469000000001</v>
      </c>
      <c r="I191" s="25">
        <v>82.120811000000003</v>
      </c>
      <c r="J191" s="25">
        <v>31.731301999999999</v>
      </c>
      <c r="K191" s="25">
        <v>27.104372000000001</v>
      </c>
      <c r="L191" s="25">
        <v>24695.449218999998</v>
      </c>
      <c r="Z191" s="24">
        <v>44076</v>
      </c>
      <c r="AA191" s="26">
        <v>186</v>
      </c>
      <c r="AB191" s="25">
        <f t="shared" si="20"/>
        <v>0.85964159665423912</v>
      </c>
      <c r="AC191" s="25">
        <f t="shared" si="21"/>
        <v>0.83936975719910734</v>
      </c>
      <c r="AD191" s="25">
        <f t="shared" si="22"/>
        <v>0.9053446285791803</v>
      </c>
      <c r="AE191" s="25">
        <f t="shared" si="23"/>
        <v>0.97513174474796926</v>
      </c>
      <c r="AF191" s="25">
        <f t="shared" si="24"/>
        <v>0.94990944038029757</v>
      </c>
      <c r="AH191" s="25">
        <f t="shared" si="25"/>
        <v>-2.877899290728847E-4</v>
      </c>
      <c r="AI191" s="25">
        <f t="shared" si="25"/>
        <v>-1.2086623812175568E-3</v>
      </c>
      <c r="AJ191" s="25">
        <f t="shared" si="25"/>
        <v>-6.7330054488841939E-3</v>
      </c>
      <c r="AK191" s="25">
        <f t="shared" si="19"/>
        <v>-1.8589217354093499E-2</v>
      </c>
      <c r="AL191" s="25">
        <f t="shared" si="26"/>
        <v>-4.4881551516411378E-3</v>
      </c>
    </row>
    <row r="192" spans="1:38" x14ac:dyDescent="0.2">
      <c r="A192" s="24">
        <v>44081</v>
      </c>
      <c r="B192" s="25">
        <v>42.622528000000003</v>
      </c>
      <c r="C192" s="25">
        <v>65.634140000000002</v>
      </c>
      <c r="D192" s="25">
        <v>9.3202420000000004</v>
      </c>
      <c r="E192" s="25">
        <v>29.317136999999999</v>
      </c>
      <c r="F192" s="25">
        <v>34.635170000000002</v>
      </c>
      <c r="G192" s="25">
        <v>106.497681</v>
      </c>
      <c r="H192" s="25">
        <v>24.396452</v>
      </c>
      <c r="I192" s="25">
        <v>81.914473999999998</v>
      </c>
      <c r="J192" s="25">
        <v>31.852104000000001</v>
      </c>
      <c r="K192" s="25">
        <v>27.169525</v>
      </c>
      <c r="L192" s="25">
        <v>24589.650390999999</v>
      </c>
      <c r="Z192" s="24">
        <v>44077</v>
      </c>
      <c r="AA192" s="26">
        <v>187</v>
      </c>
      <c r="AB192" s="25">
        <f t="shared" si="20"/>
        <v>0.85939423605576171</v>
      </c>
      <c r="AC192" s="25">
        <f t="shared" si="21"/>
        <v>0.83835585540555824</v>
      </c>
      <c r="AD192" s="25">
        <f t="shared" si="22"/>
        <v>0.89926941344096312</v>
      </c>
      <c r="AE192" s="25">
        <f t="shared" si="23"/>
        <v>0.95717225241825765</v>
      </c>
      <c r="AF192" s="25">
        <f t="shared" si="24"/>
        <v>0.94565565240259974</v>
      </c>
      <c r="AH192" s="25">
        <f t="shared" si="25"/>
        <v>-1.1286573809386441E-2</v>
      </c>
      <c r="AI192" s="25">
        <f t="shared" si="25"/>
        <v>-9.2754341362321358E-3</v>
      </c>
      <c r="AJ192" s="25">
        <f t="shared" si="25"/>
        <v>-2.9181469534465126E-3</v>
      </c>
      <c r="AK192" s="25">
        <f t="shared" si="19"/>
        <v>1.2589780193654577E-2</v>
      </c>
      <c r="AL192" s="25">
        <f t="shared" si="26"/>
        <v>-1.256077852080395E-2</v>
      </c>
    </row>
    <row r="193" spans="1:38" x14ac:dyDescent="0.2">
      <c r="A193" s="24">
        <v>44082</v>
      </c>
      <c r="B193" s="25">
        <v>42.192863000000003</v>
      </c>
      <c r="C193" s="25">
        <v>65.546859999999995</v>
      </c>
      <c r="D193" s="25">
        <v>9.4213660000000008</v>
      </c>
      <c r="E193" s="25">
        <v>29.451006</v>
      </c>
      <c r="F193" s="25">
        <v>34.635170000000002</v>
      </c>
      <c r="G193" s="25">
        <v>108.000122</v>
      </c>
      <c r="H193" s="25">
        <v>24.271979999999999</v>
      </c>
      <c r="I193" s="25">
        <v>81.831947</v>
      </c>
      <c r="J193" s="25">
        <v>31.852104000000001</v>
      </c>
      <c r="K193" s="25">
        <v>27.169525</v>
      </c>
      <c r="L193" s="25">
        <v>24624.339843999998</v>
      </c>
      <c r="Z193" s="24">
        <v>44078</v>
      </c>
      <c r="AA193" s="26">
        <v>188</v>
      </c>
      <c r="AB193" s="25">
        <f t="shared" si="20"/>
        <v>0.8497491519437953</v>
      </c>
      <c r="AC193" s="25">
        <f t="shared" si="21"/>
        <v>0.8306156930618378</v>
      </c>
      <c r="AD193" s="25">
        <f t="shared" si="22"/>
        <v>0.8966490383211404</v>
      </c>
      <c r="AE193" s="25">
        <f t="shared" si="23"/>
        <v>0.96929901715841793</v>
      </c>
      <c r="AF193" s="25">
        <f t="shared" si="24"/>
        <v>0.93385176937030168</v>
      </c>
      <c r="AH193" s="25">
        <f t="shared" si="25"/>
        <v>9.6853583571779311E-4</v>
      </c>
      <c r="AI193" s="25">
        <f t="shared" si="25"/>
        <v>-1.3273299971108821E-4</v>
      </c>
      <c r="AJ193" s="25">
        <f t="shared" si="25"/>
        <v>-3.7385444487111896E-3</v>
      </c>
      <c r="AK193" s="25">
        <f t="shared" si="19"/>
        <v>-1.3001255968116115E-2</v>
      </c>
      <c r="AL193" s="25">
        <f t="shared" si="26"/>
        <v>-4.2933459139327113E-3</v>
      </c>
    </row>
    <row r="194" spans="1:38" x14ac:dyDescent="0.2">
      <c r="A194" s="24">
        <v>44083</v>
      </c>
      <c r="B194" s="25">
        <v>41.892097</v>
      </c>
      <c r="C194" s="25">
        <v>65.983260999999999</v>
      </c>
      <c r="D194" s="25">
        <v>9.6573200000000003</v>
      </c>
      <c r="E194" s="25">
        <v>29.18327</v>
      </c>
      <c r="F194" s="25">
        <v>34.676212</v>
      </c>
      <c r="G194" s="25">
        <v>107.64662199999999</v>
      </c>
      <c r="H194" s="25">
        <v>24.230492000000002</v>
      </c>
      <c r="I194" s="25">
        <v>82.616020000000006</v>
      </c>
      <c r="J194" s="25">
        <v>31.650763999999999</v>
      </c>
      <c r="K194" s="25">
        <v>26.937593</v>
      </c>
      <c r="L194" s="25">
        <v>24468.929688</v>
      </c>
      <c r="Z194" s="24">
        <v>44081</v>
      </c>
      <c r="AA194" s="26">
        <v>189</v>
      </c>
      <c r="AB194" s="25">
        <f t="shared" si="20"/>
        <v>0.85057256313607976</v>
      </c>
      <c r="AC194" s="25">
        <f t="shared" si="21"/>
        <v>0.83050545026588096</v>
      </c>
      <c r="AD194" s="25">
        <f t="shared" si="22"/>
        <v>0.89330313433892317</v>
      </c>
      <c r="AE194" s="25">
        <f t="shared" si="23"/>
        <v>0.95677848024381185</v>
      </c>
      <c r="AF194" s="25">
        <f t="shared" si="24"/>
        <v>0.92985101514838264</v>
      </c>
      <c r="AH194" s="25">
        <f t="shared" si="25"/>
        <v>8.3233168439406091E-4</v>
      </c>
      <c r="AI194" s="25">
        <f t="shared" si="25"/>
        <v>1.1560412912036966E-3</v>
      </c>
      <c r="AJ194" s="25">
        <f t="shared" si="25"/>
        <v>1.0020437480906391E-3</v>
      </c>
      <c r="AK194" s="25">
        <f t="shared" si="19"/>
        <v>7.3358774736625304E-4</v>
      </c>
      <c r="AL194" s="25">
        <f t="shared" si="26"/>
        <v>1.4097397337398121E-3</v>
      </c>
    </row>
    <row r="195" spans="1:38" x14ac:dyDescent="0.2">
      <c r="A195" s="24">
        <v>44084</v>
      </c>
      <c r="B195" s="25">
        <v>41.935062000000002</v>
      </c>
      <c r="C195" s="25">
        <v>64.892280999999997</v>
      </c>
      <c r="D195" s="25">
        <v>9.7078819999999997</v>
      </c>
      <c r="E195" s="25">
        <v>28.915533</v>
      </c>
      <c r="F195" s="25">
        <v>34.265841999999999</v>
      </c>
      <c r="G195" s="25">
        <v>106.497681</v>
      </c>
      <c r="H195" s="25">
        <v>24.106017999999999</v>
      </c>
      <c r="I195" s="25">
        <v>82.450951000000003</v>
      </c>
      <c r="J195" s="25">
        <v>31.449422999999999</v>
      </c>
      <c r="K195" s="25">
        <v>26.639391</v>
      </c>
      <c r="L195" s="25">
        <v>24313.539063</v>
      </c>
      <c r="Z195" s="24">
        <v>44082</v>
      </c>
      <c r="AA195" s="26">
        <v>190</v>
      </c>
      <c r="AB195" s="25">
        <f t="shared" si="20"/>
        <v>0.85128081634015695</v>
      </c>
      <c r="AC195" s="25">
        <f t="shared" si="21"/>
        <v>0.83146610402967946</v>
      </c>
      <c r="AD195" s="25">
        <f t="shared" si="22"/>
        <v>0.89419871178879273</v>
      </c>
      <c r="AE195" s="25">
        <f t="shared" si="23"/>
        <v>0.95748061872246681</v>
      </c>
      <c r="AF195" s="25">
        <f t="shared" si="24"/>
        <v>0.9311627874824373</v>
      </c>
      <c r="AH195" s="25">
        <f t="shared" si="25"/>
        <v>-3.9185490199841744E-4</v>
      </c>
      <c r="AI195" s="25">
        <f t="shared" si="25"/>
        <v>6.9850643111921129E-4</v>
      </c>
      <c r="AJ195" s="25">
        <f t="shared" si="25"/>
        <v>6.7172260877305517E-3</v>
      </c>
      <c r="AK195" s="25">
        <f t="shared" si="19"/>
        <v>1.8477850585969562E-2</v>
      </c>
      <c r="AL195" s="25">
        <f t="shared" si="26"/>
        <v>-6.3312415983265424E-3</v>
      </c>
    </row>
    <row r="196" spans="1:38" x14ac:dyDescent="0.2">
      <c r="A196" s="24">
        <v>44085</v>
      </c>
      <c r="B196" s="25">
        <v>41.720230000000001</v>
      </c>
      <c r="C196" s="25">
        <v>64.979561000000004</v>
      </c>
      <c r="D196" s="25">
        <v>9.6404680000000003</v>
      </c>
      <c r="E196" s="25">
        <v>28.781666000000001</v>
      </c>
      <c r="F196" s="25">
        <v>34.265841999999999</v>
      </c>
      <c r="G196" s="25">
        <v>107.20472700000001</v>
      </c>
      <c r="H196" s="25">
        <v>24.188998999999999</v>
      </c>
      <c r="I196" s="25">
        <v>82.698547000000005</v>
      </c>
      <c r="J196" s="25">
        <v>31.328619</v>
      </c>
      <c r="K196" s="25">
        <v>26.606255999999998</v>
      </c>
      <c r="L196" s="25">
        <v>24503.310547000001</v>
      </c>
      <c r="Z196" s="24">
        <v>44083</v>
      </c>
      <c r="AA196" s="26">
        <v>191</v>
      </c>
      <c r="AB196" s="25">
        <f t="shared" si="20"/>
        <v>0.85094730312795797</v>
      </c>
      <c r="AC196" s="25">
        <f t="shared" si="21"/>
        <v>0.83204709133866517</v>
      </c>
      <c r="AD196" s="25">
        <f t="shared" si="22"/>
        <v>0.90022546557597438</v>
      </c>
      <c r="AE196" s="25">
        <f t="shared" si="23"/>
        <v>0.97533727074325272</v>
      </c>
      <c r="AF196" s="25">
        <f t="shared" si="24"/>
        <v>0.92528599423718405</v>
      </c>
      <c r="AH196" s="25">
        <f t="shared" si="25"/>
        <v>-6.5010469017333095E-3</v>
      </c>
      <c r="AI196" s="25">
        <f t="shared" si="25"/>
        <v>-6.8309804525895634E-3</v>
      </c>
      <c r="AJ196" s="25">
        <f t="shared" si="25"/>
        <v>-7.8665052057901447E-3</v>
      </c>
      <c r="AK196" s="25">
        <f t="shared" si="19"/>
        <v>-1.056408259228437E-2</v>
      </c>
      <c r="AL196" s="25">
        <f t="shared" si="26"/>
        <v>-6.3707784597930583E-3</v>
      </c>
    </row>
    <row r="197" spans="1:38" x14ac:dyDescent="0.2">
      <c r="A197" s="24">
        <v>44088</v>
      </c>
      <c r="B197" s="25">
        <v>42.149898999999998</v>
      </c>
      <c r="C197" s="25">
        <v>65.023201</v>
      </c>
      <c r="D197" s="25">
        <v>9.5899059999999992</v>
      </c>
      <c r="E197" s="25">
        <v>28.737043</v>
      </c>
      <c r="F197" s="25">
        <v>34.224803999999999</v>
      </c>
      <c r="G197" s="25">
        <v>106.76282500000001</v>
      </c>
      <c r="H197" s="25">
        <v>24.230492000000002</v>
      </c>
      <c r="I197" s="25">
        <v>82.946151999999998</v>
      </c>
      <c r="J197" s="25">
        <v>31.248085</v>
      </c>
      <c r="K197" s="25">
        <v>26.473721999999999</v>
      </c>
      <c r="L197" s="25">
        <v>24640.279297000001</v>
      </c>
      <c r="Z197" s="24">
        <v>44084</v>
      </c>
      <c r="AA197" s="26">
        <v>192</v>
      </c>
      <c r="AB197" s="25">
        <f t="shared" si="20"/>
        <v>0.84543319794810323</v>
      </c>
      <c r="AC197" s="25">
        <f t="shared" si="21"/>
        <v>0.82638276240806241</v>
      </c>
      <c r="AD197" s="25">
        <f t="shared" si="22"/>
        <v>0.89317161820359536</v>
      </c>
      <c r="AE197" s="25">
        <f t="shared" si="23"/>
        <v>0.96508795986140083</v>
      </c>
      <c r="AF197" s="25">
        <f t="shared" si="24"/>
        <v>0.91940993955144212</v>
      </c>
      <c r="AH197" s="25">
        <f t="shared" si="25"/>
        <v>-1.4185199091355793E-3</v>
      </c>
      <c r="AI197" s="25">
        <f t="shared" si="25"/>
        <v>-1.3614864515150427E-3</v>
      </c>
      <c r="AJ197" s="25">
        <f t="shared" si="25"/>
        <v>-1.4389095370567345E-3</v>
      </c>
      <c r="AK197" s="25">
        <f t="shared" si="25"/>
        <v>-1.754439621965781E-3</v>
      </c>
      <c r="AL197" s="25">
        <f t="shared" si="26"/>
        <v>7.7748745143519926E-3</v>
      </c>
    </row>
    <row r="198" spans="1:38" x14ac:dyDescent="0.2">
      <c r="A198" s="24">
        <v>44089</v>
      </c>
      <c r="B198" s="25">
        <v>42.536591000000001</v>
      </c>
      <c r="C198" s="25">
        <v>64.586815000000001</v>
      </c>
      <c r="D198" s="25">
        <v>9.6741759999999992</v>
      </c>
      <c r="E198" s="25">
        <v>28.603172000000001</v>
      </c>
      <c r="F198" s="25">
        <v>34.347915999999998</v>
      </c>
      <c r="G198" s="25">
        <v>107.73500799999999</v>
      </c>
      <c r="H198" s="25">
        <v>24.271979999999999</v>
      </c>
      <c r="I198" s="25">
        <v>82.863617000000005</v>
      </c>
      <c r="J198" s="25">
        <v>31.570229000000001</v>
      </c>
      <c r="K198" s="25">
        <v>26.738792</v>
      </c>
      <c r="L198" s="25">
        <v>24732.759765999999</v>
      </c>
      <c r="Z198" s="24">
        <v>44085</v>
      </c>
      <c r="AA198" s="26">
        <v>193</v>
      </c>
      <c r="AB198" s="25">
        <f t="shared" ref="AB198:AB249" si="27">SUMPRODUCT(O$3:X$3,B196:K196)/SUMPRODUCT(O$3:X$3,B$3:K$3)</f>
        <v>0.84423478431272414</v>
      </c>
      <c r="AC198" s="25">
        <f t="shared" ref="AC198:AC249" si="28">SUMPRODUCT(O$7:X$7,B196:K196)/SUMPRODUCT(O$7:X$7,B$3:K$3)</f>
        <v>0.82525841903608999</v>
      </c>
      <c r="AD198" s="25">
        <f t="shared" ref="AD198:AD249" si="29">SUMPRODUCT(O$11:X$11,B196:K196)/SUMPRODUCT(O$11:X$11,B$3:K$3)</f>
        <v>0.89188734923895019</v>
      </c>
      <c r="AE198" s="25">
        <f t="shared" ref="AE198:AE249" si="30">SUMPRODUCT(O$15:X$15,B196:K196)/SUMPRODUCT(O$15:X$15,B$3:K$3)</f>
        <v>0.9633962557362411</v>
      </c>
      <c r="AF198" s="25">
        <f t="shared" ref="AF198:AF249" si="31">L196/L$3</f>
        <v>0.9265860971721378</v>
      </c>
      <c r="AH198" s="25">
        <f t="shared" ref="AH198:AK248" si="32">LN(AB199)-LN(AB198)</f>
        <v>-9.0284097084689097E-4</v>
      </c>
      <c r="AI198" s="25">
        <f t="shared" si="32"/>
        <v>-8.2941226063187878E-4</v>
      </c>
      <c r="AJ198" s="25">
        <f t="shared" si="32"/>
        <v>-8.5292280061743941E-4</v>
      </c>
      <c r="AK198" s="25">
        <f t="shared" si="32"/>
        <v>-4.5330968787953008E-4</v>
      </c>
      <c r="AL198" s="25">
        <f t="shared" ref="AL198:AL248" si="33">LN(L197)-LN(L196)</f>
        <v>5.5742409170438378E-3</v>
      </c>
    </row>
    <row r="199" spans="1:38" x14ac:dyDescent="0.2">
      <c r="A199" s="24">
        <v>44090</v>
      </c>
      <c r="B199" s="25">
        <v>42.235827999999998</v>
      </c>
      <c r="C199" s="25">
        <v>64.805000000000007</v>
      </c>
      <c r="D199" s="25">
        <v>9.6236130000000006</v>
      </c>
      <c r="E199" s="25">
        <v>28.335436000000001</v>
      </c>
      <c r="F199" s="25">
        <v>34.471026999999999</v>
      </c>
      <c r="G199" s="25">
        <v>106.76282500000001</v>
      </c>
      <c r="H199" s="25">
        <v>24.106017999999999</v>
      </c>
      <c r="I199" s="25">
        <v>83.854011999999997</v>
      </c>
      <c r="J199" s="25">
        <v>31.932639999999999</v>
      </c>
      <c r="K199" s="25">
        <v>26.407450000000001</v>
      </c>
      <c r="L199" s="25">
        <v>24725.630859000001</v>
      </c>
      <c r="Z199" s="24">
        <v>44088</v>
      </c>
      <c r="AA199" s="26">
        <v>194</v>
      </c>
      <c r="AB199" s="25">
        <f t="shared" si="27"/>
        <v>0.8434729185340033</v>
      </c>
      <c r="AC199" s="25">
        <f t="shared" si="28"/>
        <v>0.82457422336451403</v>
      </c>
      <c r="AD199" s="25">
        <f t="shared" si="29"/>
        <v>0.89112696250489043</v>
      </c>
      <c r="AE199" s="25">
        <f t="shared" si="30"/>
        <v>0.96295963784928473</v>
      </c>
      <c r="AF199" s="25">
        <f t="shared" si="31"/>
        <v>0.93176553361006775</v>
      </c>
      <c r="AH199" s="25">
        <f t="shared" si="32"/>
        <v>5.4546138068700956E-3</v>
      </c>
      <c r="AI199" s="25">
        <f t="shared" si="32"/>
        <v>4.6250768278388865E-3</v>
      </c>
      <c r="AJ199" s="25">
        <f t="shared" si="32"/>
        <v>3.3122281572002948E-3</v>
      </c>
      <c r="AK199" s="25">
        <f t="shared" si="32"/>
        <v>-4.0368253949196048E-4</v>
      </c>
      <c r="AL199" s="25">
        <f t="shared" si="33"/>
        <v>3.7461974758272731E-3</v>
      </c>
    </row>
    <row r="200" spans="1:38" x14ac:dyDescent="0.2">
      <c r="A200" s="24">
        <v>44091</v>
      </c>
      <c r="B200" s="25">
        <v>41.677269000000003</v>
      </c>
      <c r="C200" s="25">
        <v>64.674080000000004</v>
      </c>
      <c r="D200" s="25">
        <v>9.6236130000000006</v>
      </c>
      <c r="E200" s="25">
        <v>27.576851000000001</v>
      </c>
      <c r="F200" s="25">
        <v>34.512062</v>
      </c>
      <c r="G200" s="25">
        <v>105.79064200000001</v>
      </c>
      <c r="H200" s="25">
        <v>23.981548</v>
      </c>
      <c r="I200" s="25">
        <v>83.688957000000002</v>
      </c>
      <c r="J200" s="25">
        <v>31.167551</v>
      </c>
      <c r="K200" s="25">
        <v>26.208651</v>
      </c>
      <c r="L200" s="25">
        <v>24340.849609000001</v>
      </c>
      <c r="Z200" s="24">
        <v>44089</v>
      </c>
      <c r="AA200" s="26">
        <v>195</v>
      </c>
      <c r="AB200" s="25">
        <f t="shared" si="27"/>
        <v>0.84808630825234965</v>
      </c>
      <c r="AC200" s="25">
        <f t="shared" si="28"/>
        <v>0.82839677548231994</v>
      </c>
      <c r="AD200" s="25">
        <f t="shared" si="29"/>
        <v>0.89408347193567872</v>
      </c>
      <c r="AE200" s="25">
        <f t="shared" si="30"/>
        <v>0.96257098630844784</v>
      </c>
      <c r="AF200" s="25">
        <f t="shared" si="31"/>
        <v>0.93526265766891659</v>
      </c>
      <c r="AH200" s="25">
        <f t="shared" si="32"/>
        <v>2.7834316830235017E-3</v>
      </c>
      <c r="AI200" s="25">
        <f t="shared" si="32"/>
        <v>1.433872122260732E-3</v>
      </c>
      <c r="AJ200" s="25">
        <f t="shared" si="32"/>
        <v>2.7244801117340262E-3</v>
      </c>
      <c r="AK200" s="25">
        <f t="shared" si="32"/>
        <v>2.1840598957500665E-3</v>
      </c>
      <c r="AL200" s="25">
        <f t="shared" si="33"/>
        <v>-2.8827897387273538E-4</v>
      </c>
    </row>
    <row r="201" spans="1:38" x14ac:dyDescent="0.2">
      <c r="A201" s="24">
        <v>44092</v>
      </c>
      <c r="B201" s="25">
        <v>42.021003999999998</v>
      </c>
      <c r="C201" s="25">
        <v>64.237694000000005</v>
      </c>
      <c r="D201" s="25">
        <v>9.5730500000000003</v>
      </c>
      <c r="E201" s="25">
        <v>27.621475</v>
      </c>
      <c r="F201" s="25">
        <v>34.388950000000001</v>
      </c>
      <c r="G201" s="25">
        <v>105.525497</v>
      </c>
      <c r="H201" s="25">
        <v>24.023039000000001</v>
      </c>
      <c r="I201" s="25">
        <v>83.276291000000001</v>
      </c>
      <c r="J201" s="25">
        <v>31.610499999999998</v>
      </c>
      <c r="K201" s="25">
        <v>25.943586</v>
      </c>
      <c r="L201" s="25">
        <v>24455.410156000002</v>
      </c>
      <c r="Z201" s="24">
        <v>44090</v>
      </c>
      <c r="AA201" s="26">
        <v>196</v>
      </c>
      <c r="AB201" s="25">
        <f t="shared" si="27"/>
        <v>0.85045018687382523</v>
      </c>
      <c r="AC201" s="25">
        <f t="shared" si="28"/>
        <v>0.82958544251946109</v>
      </c>
      <c r="AD201" s="25">
        <f t="shared" si="29"/>
        <v>0.89652270588656413</v>
      </c>
      <c r="AE201" s="25">
        <f t="shared" si="30"/>
        <v>0.96467559645716461</v>
      </c>
      <c r="AF201" s="25">
        <f t="shared" si="31"/>
        <v>0.93499307996832137</v>
      </c>
      <c r="AH201" s="25">
        <f t="shared" si="32"/>
        <v>-1.2549104145050283E-2</v>
      </c>
      <c r="AI201" s="25">
        <f t="shared" si="32"/>
        <v>-1.0673688508300472E-2</v>
      </c>
      <c r="AJ201" s="25">
        <f t="shared" si="32"/>
        <v>-2.8277549763347093E-3</v>
      </c>
      <c r="AK201" s="25">
        <f t="shared" si="32"/>
        <v>1.4450687897302902E-2</v>
      </c>
      <c r="AL201" s="25">
        <f t="shared" si="33"/>
        <v>-1.5684399383262715E-2</v>
      </c>
    </row>
    <row r="202" spans="1:38" x14ac:dyDescent="0.2">
      <c r="A202" s="24">
        <v>44095</v>
      </c>
      <c r="B202" s="25">
        <v>41.290568999999998</v>
      </c>
      <c r="C202" s="25">
        <v>64.324966000000003</v>
      </c>
      <c r="D202" s="25">
        <v>9.4887809999999995</v>
      </c>
      <c r="E202" s="25">
        <v>26.14892</v>
      </c>
      <c r="F202" s="25">
        <v>34.265841999999999</v>
      </c>
      <c r="G202" s="25">
        <v>103.58113899999999</v>
      </c>
      <c r="H202" s="25">
        <v>23.981548</v>
      </c>
      <c r="I202" s="25">
        <v>82.285888999999997</v>
      </c>
      <c r="J202" s="25">
        <v>30.603791999999999</v>
      </c>
      <c r="K202" s="25">
        <v>25.347183000000001</v>
      </c>
      <c r="L202" s="25">
        <v>23950.689452999999</v>
      </c>
      <c r="Z202" s="24">
        <v>44091</v>
      </c>
      <c r="AA202" s="26">
        <v>197</v>
      </c>
      <c r="AB202" s="25">
        <f t="shared" si="27"/>
        <v>0.83984448412455437</v>
      </c>
      <c r="AC202" s="25">
        <f t="shared" si="28"/>
        <v>0.82077779457966438</v>
      </c>
      <c r="AD202" s="25">
        <f t="shared" si="29"/>
        <v>0.89399114035402072</v>
      </c>
      <c r="AE202" s="25">
        <f t="shared" si="30"/>
        <v>0.97871703228074891</v>
      </c>
      <c r="AF202" s="25">
        <f t="shared" si="31"/>
        <v>0.92044268050214928</v>
      </c>
      <c r="AH202" s="25">
        <f t="shared" si="32"/>
        <v>3.5044858198938489E-3</v>
      </c>
      <c r="AI202" s="25">
        <f t="shared" si="32"/>
        <v>1.8075269244830772E-3</v>
      </c>
      <c r="AJ202" s="25">
        <f t="shared" si="32"/>
        <v>-1.9158932564411341E-3</v>
      </c>
      <c r="AK202" s="25">
        <f t="shared" si="32"/>
        <v>-1.1491338609689879E-2</v>
      </c>
      <c r="AL202" s="25">
        <f t="shared" si="33"/>
        <v>4.695472892080943E-3</v>
      </c>
    </row>
    <row r="203" spans="1:38" x14ac:dyDescent="0.2">
      <c r="A203" s="24">
        <v>44096</v>
      </c>
      <c r="B203" s="25">
        <v>40.345317999999999</v>
      </c>
      <c r="C203" s="25">
        <v>63.583080000000002</v>
      </c>
      <c r="D203" s="25">
        <v>9.3708050000000007</v>
      </c>
      <c r="E203" s="25">
        <v>25.613451000000001</v>
      </c>
      <c r="F203" s="25">
        <v>34.142730999999998</v>
      </c>
      <c r="G203" s="25">
        <v>102.255447</v>
      </c>
      <c r="H203" s="25">
        <v>23.649622000000001</v>
      </c>
      <c r="I203" s="25">
        <v>81.212952000000001</v>
      </c>
      <c r="J203" s="25">
        <v>30.241381000000001</v>
      </c>
      <c r="K203" s="25">
        <v>24.518843</v>
      </c>
      <c r="L203" s="25">
        <v>23716.849609000001</v>
      </c>
      <c r="Z203" s="24">
        <v>44092</v>
      </c>
      <c r="AA203" s="26">
        <v>198</v>
      </c>
      <c r="AB203" s="25">
        <f t="shared" si="27"/>
        <v>0.84279287048164442</v>
      </c>
      <c r="AC203" s="25">
        <f t="shared" si="28"/>
        <v>0.82226271415415242</v>
      </c>
      <c r="AD203" s="25">
        <f t="shared" si="29"/>
        <v>0.89227998847249312</v>
      </c>
      <c r="AE203" s="25">
        <f t="shared" si="30"/>
        <v>0.96753463685934382</v>
      </c>
      <c r="AF203" s="25">
        <f t="shared" si="31"/>
        <v>0.92477475677123255</v>
      </c>
      <c r="AH203" s="25">
        <f t="shared" si="32"/>
        <v>-1.9695558326534052E-2</v>
      </c>
      <c r="AI203" s="25">
        <f t="shared" si="32"/>
        <v>-1.7755796643434074E-2</v>
      </c>
      <c r="AJ203" s="25">
        <f t="shared" si="32"/>
        <v>-5.6232290075458879E-3</v>
      </c>
      <c r="AK203" s="25">
        <f t="shared" si="32"/>
        <v>1.8514881359757304E-2</v>
      </c>
      <c r="AL203" s="25">
        <f t="shared" si="33"/>
        <v>-2.0854355093160137E-2</v>
      </c>
    </row>
    <row r="204" spans="1:38" x14ac:dyDescent="0.2">
      <c r="A204" s="24">
        <v>44097</v>
      </c>
      <c r="B204" s="25">
        <v>40.173450000000003</v>
      </c>
      <c r="C204" s="25">
        <v>63.888568999999997</v>
      </c>
      <c r="D204" s="25">
        <v>9.4382190000000001</v>
      </c>
      <c r="E204" s="25">
        <v>25.658072000000001</v>
      </c>
      <c r="F204" s="25">
        <v>34.347915999999998</v>
      </c>
      <c r="G204" s="25">
        <v>100.752983</v>
      </c>
      <c r="H204" s="25">
        <v>23.442169</v>
      </c>
      <c r="I204" s="25">
        <v>80.924087999999998</v>
      </c>
      <c r="J204" s="25">
        <v>30.362186000000001</v>
      </c>
      <c r="K204" s="25">
        <v>24.353173999999999</v>
      </c>
      <c r="L204" s="25">
        <v>23742.509765999999</v>
      </c>
      <c r="Z204" s="24">
        <v>44095</v>
      </c>
      <c r="AA204" s="26">
        <v>199</v>
      </c>
      <c r="AB204" s="25">
        <f t="shared" si="27"/>
        <v>0.82635599242830726</v>
      </c>
      <c r="AC204" s="25">
        <f t="shared" si="28"/>
        <v>0.80779163754819638</v>
      </c>
      <c r="AD204" s="25">
        <f t="shared" si="29"/>
        <v>0.88727657461371789</v>
      </c>
      <c r="AE204" s="25">
        <f t="shared" si="30"/>
        <v>0.98561528994333691</v>
      </c>
      <c r="AF204" s="25">
        <f t="shared" si="31"/>
        <v>0.90568887915246288</v>
      </c>
      <c r="AH204" s="25">
        <f t="shared" si="32"/>
        <v>-1.3488246242669782E-2</v>
      </c>
      <c r="AI204" s="25">
        <f t="shared" si="32"/>
        <v>-1.3235065091526749E-2</v>
      </c>
      <c r="AJ204" s="25">
        <f t="shared" si="32"/>
        <v>-9.0622357017064725E-3</v>
      </c>
      <c r="AK204" s="25">
        <f t="shared" si="32"/>
        <v>-1.667360276470237E-3</v>
      </c>
      <c r="AL204" s="25">
        <f t="shared" si="33"/>
        <v>-9.8113611249281973E-3</v>
      </c>
    </row>
    <row r="205" spans="1:38" x14ac:dyDescent="0.2">
      <c r="A205" s="24">
        <v>44098</v>
      </c>
      <c r="B205" s="25">
        <v>39.829715999999998</v>
      </c>
      <c r="C205" s="25">
        <v>63.059413999999997</v>
      </c>
      <c r="D205" s="25">
        <v>9.3876570000000008</v>
      </c>
      <c r="E205" s="25">
        <v>25.524206</v>
      </c>
      <c r="F205" s="25">
        <v>34.142730999999998</v>
      </c>
      <c r="G205" s="25">
        <v>98.189971999999997</v>
      </c>
      <c r="H205" s="25">
        <v>23.732605</v>
      </c>
      <c r="I205" s="25">
        <v>81.336753999999999</v>
      </c>
      <c r="J205" s="25">
        <v>29.798428000000001</v>
      </c>
      <c r="K205" s="25">
        <v>24.187508000000001</v>
      </c>
      <c r="L205" s="25">
        <v>23311.070313</v>
      </c>
      <c r="Z205" s="24">
        <v>44096</v>
      </c>
      <c r="AA205" s="26">
        <v>200</v>
      </c>
      <c r="AB205" s="25">
        <f t="shared" si="27"/>
        <v>0.81528473310588656</v>
      </c>
      <c r="AC205" s="25">
        <f t="shared" si="28"/>
        <v>0.79717090074933306</v>
      </c>
      <c r="AD205" s="25">
        <f t="shared" si="29"/>
        <v>0.87927218875695734</v>
      </c>
      <c r="AE205" s="25">
        <f t="shared" si="30"/>
        <v>0.98397328344961488</v>
      </c>
      <c r="AF205" s="25">
        <f t="shared" si="31"/>
        <v>0.89684628835234637</v>
      </c>
      <c r="AH205" s="25">
        <f t="shared" si="32"/>
        <v>4.5681504586037036E-4</v>
      </c>
      <c r="AI205" s="25">
        <f t="shared" si="32"/>
        <v>7.8382528098797088E-4</v>
      </c>
      <c r="AJ205" s="25">
        <f t="shared" si="32"/>
        <v>4.7002649413588199E-3</v>
      </c>
      <c r="AK205" s="25">
        <f t="shared" si="32"/>
        <v>1.2144191749324048E-2</v>
      </c>
      <c r="AL205" s="25">
        <f t="shared" si="33"/>
        <v>1.0813529654996046E-3</v>
      </c>
    </row>
    <row r="206" spans="1:38" x14ac:dyDescent="0.2">
      <c r="A206" s="24">
        <v>44099</v>
      </c>
      <c r="B206" s="25">
        <v>40.001582999999997</v>
      </c>
      <c r="C206" s="25">
        <v>64.412254000000004</v>
      </c>
      <c r="D206" s="25">
        <v>9.5393439999999998</v>
      </c>
      <c r="E206" s="25">
        <v>25.167221000000001</v>
      </c>
      <c r="F206" s="25">
        <v>34.101685000000003</v>
      </c>
      <c r="G206" s="25">
        <v>99.162154999999998</v>
      </c>
      <c r="H206" s="25">
        <v>23.857074999999998</v>
      </c>
      <c r="I206" s="25">
        <v>80.924087999999998</v>
      </c>
      <c r="J206" s="25">
        <v>29.959503000000002</v>
      </c>
      <c r="K206" s="25">
        <v>24.054971999999999</v>
      </c>
      <c r="L206" s="25">
        <v>23235.419922000001</v>
      </c>
      <c r="Z206" s="24">
        <v>44097</v>
      </c>
      <c r="AA206" s="26">
        <v>201</v>
      </c>
      <c r="AB206" s="25">
        <f t="shared" si="27"/>
        <v>0.81565725251838772</v>
      </c>
      <c r="AC206" s="25">
        <f t="shared" si="28"/>
        <v>0.79779598840235744</v>
      </c>
      <c r="AD206" s="25">
        <f t="shared" si="29"/>
        <v>0.88341472889118111</v>
      </c>
      <c r="AE206" s="25">
        <f t="shared" si="30"/>
        <v>0.99599569717231073</v>
      </c>
      <c r="AF206" s="25">
        <f t="shared" si="31"/>
        <v>0.89781662028695775</v>
      </c>
      <c r="AH206" s="25">
        <f t="shared" si="32"/>
        <v>-1.0191293373367299E-2</v>
      </c>
      <c r="AI206" s="25">
        <f t="shared" si="32"/>
        <v>-9.494262759914579E-3</v>
      </c>
      <c r="AJ206" s="25">
        <f t="shared" si="32"/>
        <v>-8.7895453713732613E-3</v>
      </c>
      <c r="AK206" s="25">
        <f t="shared" si="32"/>
        <v>-6.3985451899884645E-3</v>
      </c>
      <c r="AL206" s="25">
        <f t="shared" si="33"/>
        <v>-1.8338733997627088E-2</v>
      </c>
    </row>
    <row r="207" spans="1:38" x14ac:dyDescent="0.2">
      <c r="A207" s="24">
        <v>44102</v>
      </c>
      <c r="B207" s="25">
        <v>40.001582999999997</v>
      </c>
      <c r="C207" s="25">
        <v>63.626724000000003</v>
      </c>
      <c r="D207" s="25">
        <v>9.4213660000000008</v>
      </c>
      <c r="E207" s="25">
        <v>27.487604000000001</v>
      </c>
      <c r="F207" s="25">
        <v>33.732357</v>
      </c>
      <c r="G207" s="25">
        <v>103.050865</v>
      </c>
      <c r="H207" s="25">
        <v>23.483657999999998</v>
      </c>
      <c r="I207" s="25">
        <v>80.800285000000002</v>
      </c>
      <c r="J207" s="25">
        <v>29.476286000000002</v>
      </c>
      <c r="K207" s="25">
        <v>24.618244000000001</v>
      </c>
      <c r="L207" s="25">
        <v>23476.050781000002</v>
      </c>
      <c r="Z207" s="24">
        <v>44098</v>
      </c>
      <c r="AA207" s="26">
        <v>202</v>
      </c>
      <c r="AB207" s="25">
        <f t="shared" si="27"/>
        <v>0.80738686472180965</v>
      </c>
      <c r="AC207" s="25">
        <f t="shared" si="28"/>
        <v>0.79025734720815377</v>
      </c>
      <c r="AD207" s="25">
        <f t="shared" si="29"/>
        <v>0.87568393988105819</v>
      </c>
      <c r="AE207" s="25">
        <f t="shared" si="30"/>
        <v>0.98964311899777624</v>
      </c>
      <c r="AF207" s="25">
        <f t="shared" si="31"/>
        <v>0.88150185342496334</v>
      </c>
      <c r="AH207" s="25">
        <f t="shared" si="32"/>
        <v>5.1696747973773993E-3</v>
      </c>
      <c r="AI207" s="25">
        <f t="shared" si="32"/>
        <v>5.3713228560549331E-3</v>
      </c>
      <c r="AJ207" s="25">
        <f t="shared" si="32"/>
        <v>9.8990257937567883E-3</v>
      </c>
      <c r="AK207" s="25">
        <f t="shared" si="32"/>
        <v>1.6538158341126319E-2</v>
      </c>
      <c r="AL207" s="25">
        <f t="shared" si="33"/>
        <v>-3.250533272348477E-3</v>
      </c>
    </row>
    <row r="208" spans="1:38" x14ac:dyDescent="0.2">
      <c r="A208" s="24">
        <v>44103</v>
      </c>
      <c r="B208" s="25">
        <v>39.958618000000001</v>
      </c>
      <c r="C208" s="25">
        <v>62.666645000000003</v>
      </c>
      <c r="D208" s="25">
        <v>9.3539490000000001</v>
      </c>
      <c r="E208" s="25">
        <v>26.773641999999999</v>
      </c>
      <c r="F208" s="25">
        <v>33.280951999999999</v>
      </c>
      <c r="G208" s="25">
        <v>99.780806999999996</v>
      </c>
      <c r="H208" s="25">
        <v>23.110244999999999</v>
      </c>
      <c r="I208" s="25">
        <v>80.263808999999995</v>
      </c>
      <c r="J208" s="25">
        <v>29.677622</v>
      </c>
      <c r="K208" s="25">
        <v>24.551974999999999</v>
      </c>
      <c r="L208" s="25">
        <v>23275.529297000001</v>
      </c>
      <c r="Z208" s="24">
        <v>44099</v>
      </c>
      <c r="AA208" s="26">
        <v>203</v>
      </c>
      <c r="AB208" s="25">
        <f t="shared" si="27"/>
        <v>0.81157159978786086</v>
      </c>
      <c r="AC208" s="25">
        <f t="shared" si="28"/>
        <v>0.79451349489818446</v>
      </c>
      <c r="AD208" s="25">
        <f t="shared" si="29"/>
        <v>0.88439540415713869</v>
      </c>
      <c r="AE208" s="25">
        <f t="shared" si="30"/>
        <v>1.0061460817636261</v>
      </c>
      <c r="AF208" s="25">
        <f t="shared" si="31"/>
        <v>0.87864115423855005</v>
      </c>
      <c r="AH208" s="25">
        <f t="shared" si="32"/>
        <v>-2.364648816388204E-3</v>
      </c>
      <c r="AI208" s="25">
        <f t="shared" si="32"/>
        <v>-1.2478433815793499E-4</v>
      </c>
      <c r="AJ208" s="25">
        <f t="shared" si="32"/>
        <v>-1.5666825371321053E-2</v>
      </c>
      <c r="AK208" s="25">
        <f t="shared" si="32"/>
        <v>-3.6577958780310726E-2</v>
      </c>
      <c r="AL208" s="25">
        <f t="shared" si="33"/>
        <v>1.03029506016874E-2</v>
      </c>
    </row>
    <row r="209" spans="1:38" x14ac:dyDescent="0.2">
      <c r="A209" s="24">
        <v>44104</v>
      </c>
      <c r="B209" s="25">
        <v>40.044547999999999</v>
      </c>
      <c r="C209" s="25">
        <v>62.841208999999999</v>
      </c>
      <c r="D209" s="25">
        <v>9.3539490000000001</v>
      </c>
      <c r="E209" s="25">
        <v>26.59515</v>
      </c>
      <c r="F209" s="25">
        <v>33.321987</v>
      </c>
      <c r="G209" s="25">
        <v>100.84137</v>
      </c>
      <c r="H209" s="25">
        <v>23.691110999999999</v>
      </c>
      <c r="I209" s="25">
        <v>81.543091000000004</v>
      </c>
      <c r="J209" s="25">
        <v>30.201111000000001</v>
      </c>
      <c r="K209" s="25">
        <v>24.651378999999999</v>
      </c>
      <c r="L209" s="25">
        <v>23459.050781000002</v>
      </c>
      <c r="Z209" s="24">
        <v>44102</v>
      </c>
      <c r="AA209" s="26">
        <v>204</v>
      </c>
      <c r="AB209" s="25">
        <f t="shared" si="27"/>
        <v>0.80965478515490064</v>
      </c>
      <c r="AC209" s="25">
        <f t="shared" si="28"/>
        <v>0.79441435824304563</v>
      </c>
      <c r="AD209" s="25">
        <f t="shared" si="29"/>
        <v>0.87064770837141925</v>
      </c>
      <c r="AE209" s="25">
        <f t="shared" si="30"/>
        <v>0.97000826476553637</v>
      </c>
      <c r="AF209" s="25">
        <f t="shared" si="31"/>
        <v>0.8877405454441718</v>
      </c>
      <c r="AH209" s="25">
        <f t="shared" si="32"/>
        <v>-6.3441198055842474E-3</v>
      </c>
      <c r="AI209" s="25">
        <f t="shared" si="32"/>
        <v>-8.5341680780279816E-3</v>
      </c>
      <c r="AJ209" s="25">
        <f t="shared" si="32"/>
        <v>-9.0908100838234251E-3</v>
      </c>
      <c r="AK209" s="25">
        <f t="shared" si="32"/>
        <v>-1.3741399506491295E-2</v>
      </c>
      <c r="AL209" s="25">
        <f t="shared" si="33"/>
        <v>-8.5782218822672007E-3</v>
      </c>
    </row>
    <row r="210" spans="1:38" x14ac:dyDescent="0.2">
      <c r="A210" s="24">
        <v>44109</v>
      </c>
      <c r="B210" s="25">
        <v>40.474212999999999</v>
      </c>
      <c r="C210" s="25">
        <v>63.670363999999999</v>
      </c>
      <c r="D210" s="25">
        <v>9.3708050000000007</v>
      </c>
      <c r="E210" s="25">
        <v>27.666096</v>
      </c>
      <c r="F210" s="25">
        <v>33.691322</v>
      </c>
      <c r="G210" s="25">
        <v>101.63679500000001</v>
      </c>
      <c r="H210" s="25">
        <v>24.023039000000001</v>
      </c>
      <c r="I210" s="25">
        <v>81.708152999999996</v>
      </c>
      <c r="J210" s="25">
        <v>30.241381000000001</v>
      </c>
      <c r="K210" s="25">
        <v>24.717642000000001</v>
      </c>
      <c r="L210" s="25">
        <v>23767.779297000001</v>
      </c>
      <c r="Z210" s="24">
        <v>44103</v>
      </c>
      <c r="AA210" s="26">
        <v>205</v>
      </c>
      <c r="AB210" s="25">
        <f t="shared" si="27"/>
        <v>0.80453449723010317</v>
      </c>
      <c r="AC210" s="25">
        <f t="shared" si="28"/>
        <v>0.78766353986846838</v>
      </c>
      <c r="AD210" s="25">
        <f t="shared" si="29"/>
        <v>0.86276868302822218</v>
      </c>
      <c r="AE210" s="25">
        <f t="shared" si="30"/>
        <v>0.95677015704589263</v>
      </c>
      <c r="AF210" s="25">
        <f t="shared" si="31"/>
        <v>0.88015787946512625</v>
      </c>
      <c r="AH210" s="25">
        <f t="shared" si="32"/>
        <v>1.0736894404177993E-2</v>
      </c>
      <c r="AI210" s="25">
        <f t="shared" si="32"/>
        <v>8.555141240504438E-3</v>
      </c>
      <c r="AJ210" s="25">
        <f t="shared" si="32"/>
        <v>4.7263070561621989E-3</v>
      </c>
      <c r="AK210" s="25">
        <f t="shared" si="32"/>
        <v>-6.9623548607366179E-3</v>
      </c>
      <c r="AL210" s="25">
        <f t="shared" si="33"/>
        <v>7.8538173245839005E-3</v>
      </c>
    </row>
    <row r="211" spans="1:38" x14ac:dyDescent="0.2">
      <c r="A211" s="24">
        <v>44110</v>
      </c>
      <c r="B211" s="25">
        <v>40.946846000000001</v>
      </c>
      <c r="C211" s="25">
        <v>63.888568999999997</v>
      </c>
      <c r="D211" s="25">
        <v>9.4382190000000001</v>
      </c>
      <c r="E211" s="25">
        <v>27.710718</v>
      </c>
      <c r="F211" s="25">
        <v>33.978580000000001</v>
      </c>
      <c r="G211" s="25">
        <v>102.697334</v>
      </c>
      <c r="H211" s="25">
        <v>24.023039000000001</v>
      </c>
      <c r="I211" s="25">
        <v>81.708152999999996</v>
      </c>
      <c r="J211" s="25">
        <v>30.724595999999998</v>
      </c>
      <c r="K211" s="25">
        <v>25.181515000000001</v>
      </c>
      <c r="L211" s="25">
        <v>23980.650390999999</v>
      </c>
      <c r="Z211" s="24">
        <v>44104</v>
      </c>
      <c r="AA211" s="26">
        <v>206</v>
      </c>
      <c r="AB211" s="25">
        <f t="shared" si="27"/>
        <v>0.81321923931883389</v>
      </c>
      <c r="AC211" s="25">
        <f t="shared" si="28"/>
        <v>0.79443101979917685</v>
      </c>
      <c r="AD211" s="25">
        <f t="shared" si="29"/>
        <v>0.86685604419600581</v>
      </c>
      <c r="AE211" s="25">
        <f t="shared" si="30"/>
        <v>0.95013191939083108</v>
      </c>
      <c r="AF211" s="25">
        <f t="shared" si="31"/>
        <v>0.88709769501701374</v>
      </c>
      <c r="AH211" s="25">
        <f t="shared" si="32"/>
        <v>7.3046035473152415E-3</v>
      </c>
      <c r="AI211" s="25">
        <f t="shared" si="32"/>
        <v>8.7592708850782464E-3</v>
      </c>
      <c r="AJ211" s="25">
        <f t="shared" si="32"/>
        <v>7.1370161600203263E-3</v>
      </c>
      <c r="AK211" s="25">
        <f t="shared" si="32"/>
        <v>7.6428072218988133E-3</v>
      </c>
      <c r="AL211" s="25">
        <f t="shared" si="33"/>
        <v>1.307447115808813E-2</v>
      </c>
    </row>
    <row r="212" spans="1:38" x14ac:dyDescent="0.2">
      <c r="A212" s="24">
        <v>44111</v>
      </c>
      <c r="B212" s="25">
        <v>41.161673999999998</v>
      </c>
      <c r="C212" s="25">
        <v>64.71772</v>
      </c>
      <c r="D212" s="25">
        <v>9.5561980000000002</v>
      </c>
      <c r="E212" s="25">
        <v>28.156946000000001</v>
      </c>
      <c r="F212" s="25">
        <v>34.183768999999998</v>
      </c>
      <c r="G212" s="25">
        <v>104.02304100000001</v>
      </c>
      <c r="H212" s="25">
        <v>24.230492000000002</v>
      </c>
      <c r="I212" s="25">
        <v>82.450951000000003</v>
      </c>
      <c r="J212" s="25">
        <v>31.489691000000001</v>
      </c>
      <c r="K212" s="25">
        <v>25.314050999999999</v>
      </c>
      <c r="L212" s="25">
        <v>24242.859375</v>
      </c>
      <c r="Z212" s="24">
        <v>44109</v>
      </c>
      <c r="AA212" s="26">
        <v>207</v>
      </c>
      <c r="AB212" s="25">
        <f t="shared" si="27"/>
        <v>0.81918123194575754</v>
      </c>
      <c r="AC212" s="25">
        <f t="shared" si="28"/>
        <v>0.80142022177072458</v>
      </c>
      <c r="AD212" s="25">
        <f t="shared" si="29"/>
        <v>0.87306493993125556</v>
      </c>
      <c r="AE212" s="25">
        <f t="shared" si="30"/>
        <v>0.95742141510825862</v>
      </c>
      <c r="AF212" s="25">
        <f t="shared" si="31"/>
        <v>0.89877218080445387</v>
      </c>
      <c r="AH212" s="25">
        <f t="shared" si="32"/>
        <v>9.4303511877696644E-3</v>
      </c>
      <c r="AI212" s="25">
        <f t="shared" si="32"/>
        <v>8.6300723862523798E-3</v>
      </c>
      <c r="AJ212" s="25">
        <f t="shared" si="32"/>
        <v>7.7428795615129276E-3</v>
      </c>
      <c r="AK212" s="25">
        <f t="shared" si="32"/>
        <v>5.1808876197625836E-3</v>
      </c>
      <c r="AL212" s="25">
        <f t="shared" si="33"/>
        <v>8.9164190615260708E-3</v>
      </c>
    </row>
    <row r="213" spans="1:38" x14ac:dyDescent="0.2">
      <c r="A213" s="24">
        <v>44112</v>
      </c>
      <c r="B213" s="25">
        <v>40.903869999999998</v>
      </c>
      <c r="C213" s="25">
        <v>63.975845</v>
      </c>
      <c r="D213" s="25">
        <v>9.4045120000000004</v>
      </c>
      <c r="E213" s="25">
        <v>28.023077000000001</v>
      </c>
      <c r="F213" s="25">
        <v>33.978580000000001</v>
      </c>
      <c r="G213" s="25">
        <v>102.432213</v>
      </c>
      <c r="H213" s="25">
        <v>23.981548</v>
      </c>
      <c r="I213" s="25">
        <v>81.831947</v>
      </c>
      <c r="J213" s="25">
        <v>31.248085</v>
      </c>
      <c r="K213" s="25">
        <v>25.181515000000001</v>
      </c>
      <c r="L213" s="25">
        <v>24193.349609000001</v>
      </c>
      <c r="Z213" s="24">
        <v>44110</v>
      </c>
      <c r="AA213" s="26">
        <v>208</v>
      </c>
      <c r="AB213" s="25">
        <f t="shared" si="27"/>
        <v>0.82694293893920112</v>
      </c>
      <c r="AC213" s="25">
        <f t="shared" si="28"/>
        <v>0.8083664664818464</v>
      </c>
      <c r="AD213" s="25">
        <f t="shared" si="29"/>
        <v>0.87985121536288979</v>
      </c>
      <c r="AE213" s="25">
        <f t="shared" si="30"/>
        <v>0.96239457944348872</v>
      </c>
      <c r="AF213" s="25">
        <f t="shared" si="31"/>
        <v>0.90682184396371912</v>
      </c>
      <c r="AH213" s="25">
        <f t="shared" si="32"/>
        <v>1.5260589672009467E-2</v>
      </c>
      <c r="AI213" s="25">
        <f t="shared" si="32"/>
        <v>1.3876388983387916E-2</v>
      </c>
      <c r="AJ213" s="25">
        <f t="shared" si="32"/>
        <v>1.1132690422899508E-2</v>
      </c>
      <c r="AK213" s="25">
        <f t="shared" si="32"/>
        <v>3.0666003324126348E-3</v>
      </c>
      <c r="AL213" s="25">
        <f t="shared" si="33"/>
        <v>1.0874843800689149E-2</v>
      </c>
    </row>
    <row r="214" spans="1:38" x14ac:dyDescent="0.2">
      <c r="A214" s="24">
        <v>44113</v>
      </c>
      <c r="B214" s="25">
        <v>40.603107000000001</v>
      </c>
      <c r="C214" s="25">
        <v>63.714016000000001</v>
      </c>
      <c r="D214" s="25">
        <v>9.4382190000000001</v>
      </c>
      <c r="E214" s="25">
        <v>28.067699000000001</v>
      </c>
      <c r="F214" s="25">
        <v>33.650288000000003</v>
      </c>
      <c r="G214" s="25">
        <v>103.669533</v>
      </c>
      <c r="H214" s="25">
        <v>24.023039000000001</v>
      </c>
      <c r="I214" s="25">
        <v>81.295479</v>
      </c>
      <c r="J214" s="25">
        <v>30.684329999999999</v>
      </c>
      <c r="K214" s="25">
        <v>25.048981000000001</v>
      </c>
      <c r="L214" s="25">
        <v>24119.130859000001</v>
      </c>
      <c r="Z214" s="24">
        <v>44111</v>
      </c>
      <c r="AA214" s="26">
        <v>209</v>
      </c>
      <c r="AB214" s="25">
        <f t="shared" si="27"/>
        <v>0.83965935905899047</v>
      </c>
      <c r="AC214" s="25">
        <f t="shared" si="28"/>
        <v>0.81966186241835826</v>
      </c>
      <c r="AD214" s="25">
        <f t="shared" si="29"/>
        <v>0.88970105242554354</v>
      </c>
      <c r="AE214" s="25">
        <f t="shared" si="30"/>
        <v>0.96535038880733293</v>
      </c>
      <c r="AF214" s="25">
        <f t="shared" si="31"/>
        <v>0.91673720616190091</v>
      </c>
      <c r="AH214" s="25">
        <f t="shared" si="32"/>
        <v>-8.9942921425620881E-3</v>
      </c>
      <c r="AI214" s="25">
        <f t="shared" si="32"/>
        <v>-9.1451674207886635E-3</v>
      </c>
      <c r="AJ214" s="25">
        <f t="shared" si="32"/>
        <v>-9.9968894789654733E-3</v>
      </c>
      <c r="AK214" s="25">
        <f t="shared" si="32"/>
        <v>-1.1128735024148975E-2</v>
      </c>
      <c r="AL214" s="25">
        <f t="shared" si="33"/>
        <v>-2.0443294089886876E-3</v>
      </c>
    </row>
    <row r="215" spans="1:38" x14ac:dyDescent="0.2">
      <c r="A215" s="24">
        <v>44116</v>
      </c>
      <c r="B215" s="25">
        <v>40.646076000000001</v>
      </c>
      <c r="C215" s="25">
        <v>64.761368000000004</v>
      </c>
      <c r="D215" s="25">
        <v>9.5224890000000002</v>
      </c>
      <c r="E215" s="25">
        <v>28.067699000000001</v>
      </c>
      <c r="F215" s="25">
        <v>34.142730999999998</v>
      </c>
      <c r="G215" s="25">
        <v>103.93465399999999</v>
      </c>
      <c r="H215" s="25">
        <v>24.396452</v>
      </c>
      <c r="I215" s="25">
        <v>81.625618000000003</v>
      </c>
      <c r="J215" s="25">
        <v>31.087008000000001</v>
      </c>
      <c r="K215" s="25">
        <v>25.314050999999999</v>
      </c>
      <c r="L215" s="25">
        <v>24649.679688</v>
      </c>
      <c r="Z215" s="24">
        <v>44112</v>
      </c>
      <c r="AA215" s="26">
        <v>210</v>
      </c>
      <c r="AB215" s="25">
        <f t="shared" si="27"/>
        <v>0.83214107897111023</v>
      </c>
      <c r="AC215" s="25">
        <f t="shared" si="28"/>
        <v>0.81220008904628993</v>
      </c>
      <c r="AD215" s="25">
        <f t="shared" si="29"/>
        <v>0.88085111894204171</v>
      </c>
      <c r="AE215" s="25">
        <f t="shared" si="30"/>
        <v>0.95466681770281414</v>
      </c>
      <c r="AF215" s="25">
        <f t="shared" si="31"/>
        <v>0.91486500767827761</v>
      </c>
      <c r="AH215" s="25">
        <f t="shared" si="32"/>
        <v>-7.5916962246435349E-3</v>
      </c>
      <c r="AI215" s="25">
        <f t="shared" si="32"/>
        <v>-6.1705586092698772E-3</v>
      </c>
      <c r="AJ215" s="25">
        <f t="shared" si="32"/>
        <v>-6.4824814623107574E-3</v>
      </c>
      <c r="AK215" s="25">
        <f t="shared" si="32"/>
        <v>-5.0838999644558583E-3</v>
      </c>
      <c r="AL215" s="25">
        <f t="shared" si="33"/>
        <v>-3.0724486785231875E-3</v>
      </c>
    </row>
    <row r="216" spans="1:38" x14ac:dyDescent="0.2">
      <c r="A216" s="24">
        <v>44118</v>
      </c>
      <c r="B216" s="25">
        <v>40.302349</v>
      </c>
      <c r="C216" s="25">
        <v>64.761368000000004</v>
      </c>
      <c r="D216" s="25">
        <v>9.6236130000000006</v>
      </c>
      <c r="E216" s="25">
        <v>27.21987</v>
      </c>
      <c r="F216" s="25">
        <v>34.224803999999999</v>
      </c>
      <c r="G216" s="25">
        <v>102.96249400000001</v>
      </c>
      <c r="H216" s="25">
        <v>24.479434999999999</v>
      </c>
      <c r="I216" s="25">
        <v>81.584350999999998</v>
      </c>
      <c r="J216" s="25">
        <v>31.046741000000001</v>
      </c>
      <c r="K216" s="25">
        <v>25.181515000000001</v>
      </c>
      <c r="L216" s="25">
        <v>24667.089843999998</v>
      </c>
      <c r="Z216" s="24">
        <v>44113</v>
      </c>
      <c r="AA216" s="26">
        <v>211</v>
      </c>
      <c r="AB216" s="25">
        <f t="shared" si="27"/>
        <v>0.82584763586390442</v>
      </c>
      <c r="AC216" s="25">
        <f t="shared" si="28"/>
        <v>0.80720379162057865</v>
      </c>
      <c r="AD216" s="25">
        <f t="shared" si="29"/>
        <v>0.87515948577709046</v>
      </c>
      <c r="AE216" s="25">
        <f t="shared" si="30"/>
        <v>0.94982570339960914</v>
      </c>
      <c r="AF216" s="25">
        <f t="shared" si="31"/>
        <v>0.9120584456111811</v>
      </c>
      <c r="AH216" s="25">
        <f t="shared" si="32"/>
        <v>1.0277254677990538E-2</v>
      </c>
      <c r="AI216" s="25">
        <f t="shared" si="32"/>
        <v>1.0101969426913576E-2</v>
      </c>
      <c r="AJ216" s="25">
        <f t="shared" si="32"/>
        <v>1.3236329651020257E-2</v>
      </c>
      <c r="AK216" s="25">
        <f t="shared" si="32"/>
        <v>1.825709960399325E-2</v>
      </c>
      <c r="AL216" s="25">
        <f t="shared" si="33"/>
        <v>2.1758568831048208E-2</v>
      </c>
    </row>
    <row r="217" spans="1:38" x14ac:dyDescent="0.2">
      <c r="A217" s="24">
        <v>44119</v>
      </c>
      <c r="B217" s="25">
        <v>39.872687999999997</v>
      </c>
      <c r="C217" s="25">
        <v>63.932200999999999</v>
      </c>
      <c r="D217" s="25">
        <v>9.4719259999999998</v>
      </c>
      <c r="E217" s="25">
        <v>26.684393</v>
      </c>
      <c r="F217" s="25">
        <v>33.691322</v>
      </c>
      <c r="G217" s="25">
        <v>101.27166</v>
      </c>
      <c r="H217" s="25">
        <v>24.064527999999999</v>
      </c>
      <c r="I217" s="25">
        <v>81.089149000000006</v>
      </c>
      <c r="J217" s="25">
        <v>30.684329999999999</v>
      </c>
      <c r="K217" s="25">
        <v>24.916443000000001</v>
      </c>
      <c r="L217" s="25">
        <v>24158.539063</v>
      </c>
      <c r="Z217" s="24">
        <v>44116</v>
      </c>
      <c r="AA217" s="26">
        <v>212</v>
      </c>
      <c r="AB217" s="25">
        <f t="shared" si="27"/>
        <v>0.83437884596220857</v>
      </c>
      <c r="AC217" s="25">
        <f t="shared" si="28"/>
        <v>0.81539946617458936</v>
      </c>
      <c r="AD217" s="25">
        <f t="shared" si="29"/>
        <v>0.88682038875689095</v>
      </c>
      <c r="AE217" s="25">
        <f t="shared" si="30"/>
        <v>0.96732603239725168</v>
      </c>
      <c r="AF217" s="25">
        <f t="shared" si="31"/>
        <v>0.93212100686711497</v>
      </c>
      <c r="AH217" s="25">
        <f t="shared" si="32"/>
        <v>-2.0903829413735642E-3</v>
      </c>
      <c r="AI217" s="25">
        <f t="shared" si="32"/>
        <v>-2.2594077919906586E-3</v>
      </c>
      <c r="AJ217" s="25">
        <f t="shared" si="32"/>
        <v>3.8042350271982744E-3</v>
      </c>
      <c r="AK217" s="25">
        <f t="shared" si="32"/>
        <v>1.3381274235890497E-2</v>
      </c>
      <c r="AL217" s="25">
        <f t="shared" si="33"/>
        <v>7.0605422408931418E-4</v>
      </c>
    </row>
    <row r="218" spans="1:38" x14ac:dyDescent="0.2">
      <c r="A218" s="24">
        <v>44120</v>
      </c>
      <c r="B218" s="25">
        <v>39.571922000000001</v>
      </c>
      <c r="C218" s="25">
        <v>63.670363999999999</v>
      </c>
      <c r="D218" s="25">
        <v>9.3708050000000007</v>
      </c>
      <c r="E218" s="25">
        <v>26.907509000000001</v>
      </c>
      <c r="F218" s="25">
        <v>33.732357</v>
      </c>
      <c r="G218" s="25">
        <v>101.182671</v>
      </c>
      <c r="H218" s="25">
        <v>23.815584000000001</v>
      </c>
      <c r="I218" s="25">
        <v>81.047882000000001</v>
      </c>
      <c r="J218" s="25">
        <v>30.644062000000002</v>
      </c>
      <c r="K218" s="25">
        <v>24.916443000000001</v>
      </c>
      <c r="L218" s="25">
        <v>24386.789063</v>
      </c>
      <c r="Z218" s="24">
        <v>44118</v>
      </c>
      <c r="AA218" s="26">
        <v>213</v>
      </c>
      <c r="AB218" s="25">
        <f t="shared" si="27"/>
        <v>0.83263649637935133</v>
      </c>
      <c r="AC218" s="25">
        <f t="shared" si="28"/>
        <v>0.81355922597650787</v>
      </c>
      <c r="AD218" s="25">
        <f t="shared" si="29"/>
        <v>0.89020048721064482</v>
      </c>
      <c r="AE218" s="25">
        <f t="shared" si="30"/>
        <v>0.98035707887278722</v>
      </c>
      <c r="AF218" s="25">
        <f t="shared" si="31"/>
        <v>0.93277936723308486</v>
      </c>
      <c r="AH218" s="25">
        <f t="shared" si="32"/>
        <v>-1.3063920223688436E-2</v>
      </c>
      <c r="AI218" s="25">
        <f t="shared" si="32"/>
        <v>-1.3584907582408018E-2</v>
      </c>
      <c r="AJ218" s="25">
        <f t="shared" si="32"/>
        <v>-1.3943256442136523E-2</v>
      </c>
      <c r="AK218" s="25">
        <f t="shared" si="32"/>
        <v>-1.5572500207880768E-2</v>
      </c>
      <c r="AL218" s="25">
        <f t="shared" si="33"/>
        <v>-2.0832058235150441E-2</v>
      </c>
    </row>
    <row r="219" spans="1:38" x14ac:dyDescent="0.2">
      <c r="A219" s="24">
        <v>44123</v>
      </c>
      <c r="B219" s="25">
        <v>39.829715999999998</v>
      </c>
      <c r="C219" s="25">
        <v>63.888568999999997</v>
      </c>
      <c r="D219" s="25">
        <v>9.5056360000000009</v>
      </c>
      <c r="E219" s="25">
        <v>27.576851000000001</v>
      </c>
      <c r="F219" s="25">
        <v>33.773403000000002</v>
      </c>
      <c r="G219" s="25">
        <v>101.449631</v>
      </c>
      <c r="H219" s="25">
        <v>23.898565000000001</v>
      </c>
      <c r="I219" s="25">
        <v>81.625618000000003</v>
      </c>
      <c r="J219" s="25">
        <v>30.805136000000001</v>
      </c>
      <c r="K219" s="25">
        <v>24.883310000000002</v>
      </c>
      <c r="L219" s="25">
        <v>24542.259765999999</v>
      </c>
      <c r="Z219" s="24">
        <v>44119</v>
      </c>
      <c r="AA219" s="26">
        <v>214</v>
      </c>
      <c r="AB219" s="25">
        <f t="shared" si="27"/>
        <v>0.82182974259500463</v>
      </c>
      <c r="AC219" s="25">
        <f t="shared" si="28"/>
        <v>0.80258183134697125</v>
      </c>
      <c r="AD219" s="25">
        <f t="shared" si="29"/>
        <v>0.87787432663939369</v>
      </c>
      <c r="AE219" s="25">
        <f t="shared" si="30"/>
        <v>0.96520872307045757</v>
      </c>
      <c r="AF219" s="25">
        <f t="shared" si="31"/>
        <v>0.9135486562450007</v>
      </c>
      <c r="AH219" s="25">
        <f t="shared" si="32"/>
        <v>-2.6233186180085744E-3</v>
      </c>
      <c r="AI219" s="25">
        <f t="shared" si="32"/>
        <v>-2.5979113943466747E-3</v>
      </c>
      <c r="AJ219" s="25">
        <f t="shared" si="32"/>
        <v>-4.0467226841289505E-3</v>
      </c>
      <c r="AK219" s="25">
        <f t="shared" si="32"/>
        <v>-5.9974059784857758E-3</v>
      </c>
      <c r="AL219" s="25">
        <f t="shared" si="33"/>
        <v>9.4036518361573229E-3</v>
      </c>
    </row>
    <row r="220" spans="1:38" x14ac:dyDescent="0.2">
      <c r="A220" s="24">
        <v>44124</v>
      </c>
      <c r="B220" s="25">
        <v>39.571922000000001</v>
      </c>
      <c r="C220" s="25">
        <v>63.975845</v>
      </c>
      <c r="D220" s="25">
        <v>9.5224890000000002</v>
      </c>
      <c r="E220" s="25">
        <v>27.487604000000001</v>
      </c>
      <c r="F220" s="25">
        <v>33.732357</v>
      </c>
      <c r="G220" s="25">
        <v>101.449631</v>
      </c>
      <c r="H220" s="25">
        <v>23.981548</v>
      </c>
      <c r="I220" s="25">
        <v>81.047882000000001</v>
      </c>
      <c r="J220" s="25">
        <v>30.764866000000001</v>
      </c>
      <c r="K220" s="25">
        <v>25.015846</v>
      </c>
      <c r="L220" s="25">
        <v>24569.539063</v>
      </c>
      <c r="Z220" s="24">
        <v>44120</v>
      </c>
      <c r="AA220" s="26">
        <v>215</v>
      </c>
      <c r="AB220" s="25">
        <f t="shared" si="27"/>
        <v>0.81967664669346896</v>
      </c>
      <c r="AC220" s="25">
        <f t="shared" si="28"/>
        <v>0.80049950088859378</v>
      </c>
      <c r="AD220" s="25">
        <f t="shared" si="29"/>
        <v>0.87432899102119166</v>
      </c>
      <c r="AE220" s="25">
        <f t="shared" si="30"/>
        <v>0.95943729859136095</v>
      </c>
      <c r="AF220" s="25">
        <f t="shared" si="31"/>
        <v>0.92217986859787338</v>
      </c>
      <c r="AH220" s="25">
        <f t="shared" si="32"/>
        <v>6.1544238197303591E-3</v>
      </c>
      <c r="AI220" s="25">
        <f t="shared" si="32"/>
        <v>6.5003782928558518E-3</v>
      </c>
      <c r="AJ220" s="25">
        <f t="shared" si="32"/>
        <v>4.5255088714297176E-3</v>
      </c>
      <c r="AK220" s="25">
        <f t="shared" si="32"/>
        <v>1.5641576036805188E-3</v>
      </c>
      <c r="AL220" s="25">
        <f t="shared" si="33"/>
        <v>6.3549662195327983E-3</v>
      </c>
    </row>
    <row r="221" spans="1:38" x14ac:dyDescent="0.2">
      <c r="A221" s="24">
        <v>44125</v>
      </c>
      <c r="B221" s="25">
        <v>39.657856000000002</v>
      </c>
      <c r="C221" s="25">
        <v>63.583080000000002</v>
      </c>
      <c r="D221" s="25">
        <v>9.4382190000000001</v>
      </c>
      <c r="E221" s="25">
        <v>27.710718</v>
      </c>
      <c r="F221" s="25">
        <v>33.363025999999998</v>
      </c>
      <c r="G221" s="25">
        <v>102.161575</v>
      </c>
      <c r="H221" s="25">
        <v>23.857074999999998</v>
      </c>
      <c r="I221" s="25">
        <v>80.635216</v>
      </c>
      <c r="J221" s="25">
        <v>30.523257999999998</v>
      </c>
      <c r="K221" s="25">
        <v>24.949577000000001</v>
      </c>
      <c r="L221" s="25">
        <v>24754.419922000001</v>
      </c>
      <c r="Z221" s="24">
        <v>44123</v>
      </c>
      <c r="AA221" s="26">
        <v>216</v>
      </c>
      <c r="AB221" s="25">
        <f t="shared" si="27"/>
        <v>0.82473683948584453</v>
      </c>
      <c r="AC221" s="25">
        <f t="shared" si="28"/>
        <v>0.80571999969353392</v>
      </c>
      <c r="AD221" s="25">
        <f t="shared" si="29"/>
        <v>0.87829474137752817</v>
      </c>
      <c r="AE221" s="25">
        <f t="shared" si="30"/>
        <v>0.96093918402375877</v>
      </c>
      <c r="AF221" s="25">
        <f t="shared" si="31"/>
        <v>0.92805895141164507</v>
      </c>
      <c r="AH221" s="25">
        <f t="shared" si="32"/>
        <v>-1.0222892579475895E-3</v>
      </c>
      <c r="AI221" s="25">
        <f t="shared" si="32"/>
        <v>-9.1204566125357989E-4</v>
      </c>
      <c r="AJ221" s="25">
        <f t="shared" si="32"/>
        <v>-2.5735965925496873E-4</v>
      </c>
      <c r="AK221" s="25">
        <f t="shared" si="32"/>
        <v>8.3922005330543115E-4</v>
      </c>
      <c r="AL221" s="25">
        <f t="shared" si="33"/>
        <v>1.1109061551763943E-3</v>
      </c>
    </row>
    <row r="222" spans="1:38" x14ac:dyDescent="0.2">
      <c r="A222" s="24">
        <v>44126</v>
      </c>
      <c r="B222" s="25">
        <v>39.614882999999999</v>
      </c>
      <c r="C222" s="25">
        <v>63.059413999999997</v>
      </c>
      <c r="D222" s="25">
        <v>9.4382190000000001</v>
      </c>
      <c r="E222" s="25">
        <v>27.889209999999999</v>
      </c>
      <c r="F222" s="25">
        <v>33.198883000000002</v>
      </c>
      <c r="G222" s="25">
        <v>102.60652899999999</v>
      </c>
      <c r="H222" s="25">
        <v>23.857074999999998</v>
      </c>
      <c r="I222" s="25">
        <v>80.676483000000005</v>
      </c>
      <c r="J222" s="25">
        <v>30.603791999999999</v>
      </c>
      <c r="K222" s="25">
        <v>24.518843</v>
      </c>
      <c r="L222" s="25">
        <v>24786.130859000001</v>
      </c>
      <c r="Z222" s="24">
        <v>44124</v>
      </c>
      <c r="AA222" s="26">
        <v>217</v>
      </c>
      <c r="AB222" s="25">
        <f t="shared" si="27"/>
        <v>0.82389415068344918</v>
      </c>
      <c r="AC222" s="25">
        <f t="shared" si="28"/>
        <v>0.8049854812717141</v>
      </c>
      <c r="AD222" s="25">
        <f t="shared" si="29"/>
        <v>0.87806873282615117</v>
      </c>
      <c r="AE222" s="25">
        <f t="shared" si="30"/>
        <v>0.96174596194175166</v>
      </c>
      <c r="AF222" s="25">
        <f t="shared" si="31"/>
        <v>0.92909051068982285</v>
      </c>
      <c r="AH222" s="25">
        <f t="shared" si="32"/>
        <v>-4.9421775160016224E-3</v>
      </c>
      <c r="AI222" s="25">
        <f t="shared" si="32"/>
        <v>-4.7474600706603198E-3</v>
      </c>
      <c r="AJ222" s="25">
        <f t="shared" si="32"/>
        <v>-8.7228784379857205E-3</v>
      </c>
      <c r="AK222" s="25">
        <f t="shared" si="32"/>
        <v>-1.5309255843282632E-2</v>
      </c>
      <c r="AL222" s="25">
        <f t="shared" si="33"/>
        <v>7.4966295753231549E-3</v>
      </c>
    </row>
    <row r="223" spans="1:38" x14ac:dyDescent="0.2">
      <c r="A223" s="24">
        <v>44127</v>
      </c>
      <c r="B223" s="25">
        <v>39.872687999999997</v>
      </c>
      <c r="C223" s="25">
        <v>63.714016000000001</v>
      </c>
      <c r="D223" s="25">
        <v>9.5561980000000002</v>
      </c>
      <c r="E223" s="25">
        <v>28.781666000000001</v>
      </c>
      <c r="F223" s="25">
        <v>33.363025999999998</v>
      </c>
      <c r="G223" s="25">
        <v>108.30193300000001</v>
      </c>
      <c r="H223" s="25">
        <v>24.106017999999999</v>
      </c>
      <c r="I223" s="25">
        <v>80.882812999999999</v>
      </c>
      <c r="J223" s="25">
        <v>30.764866000000001</v>
      </c>
      <c r="K223" s="25">
        <v>24.850180000000002</v>
      </c>
      <c r="L223" s="25">
        <v>24918.779297000001</v>
      </c>
      <c r="Z223" s="24">
        <v>44125</v>
      </c>
      <c r="AA223" s="26">
        <v>218</v>
      </c>
      <c r="AB223" s="25">
        <f t="shared" si="27"/>
        <v>0.81983236483718169</v>
      </c>
      <c r="AC223" s="25">
        <f t="shared" si="28"/>
        <v>0.80117290203653435</v>
      </c>
      <c r="AD223" s="25">
        <f t="shared" si="29"/>
        <v>0.87044275460412435</v>
      </c>
      <c r="AE223" s="25">
        <f t="shared" si="30"/>
        <v>0.94713447780596627</v>
      </c>
      <c r="AF223" s="25">
        <f t="shared" si="31"/>
        <v>0.9360817306416761</v>
      </c>
      <c r="AH223" s="25">
        <f t="shared" si="32"/>
        <v>-1.8824682838577966E-4</v>
      </c>
      <c r="AI223" s="25">
        <f t="shared" si="32"/>
        <v>-7.4101611712498738E-4</v>
      </c>
      <c r="AJ223" s="25">
        <f t="shared" si="32"/>
        <v>-3.6162354813678854E-3</v>
      </c>
      <c r="AK223" s="25">
        <f t="shared" si="32"/>
        <v>-1.0115033043378352E-2</v>
      </c>
      <c r="AL223" s="25">
        <f t="shared" si="33"/>
        <v>1.2802014039419163E-3</v>
      </c>
    </row>
    <row r="224" spans="1:38" x14ac:dyDescent="0.2">
      <c r="A224" s="24">
        <v>44131</v>
      </c>
      <c r="B224" s="25">
        <v>40.173450000000003</v>
      </c>
      <c r="C224" s="25">
        <v>63.015770000000003</v>
      </c>
      <c r="D224" s="25">
        <v>9.5899059999999992</v>
      </c>
      <c r="E224" s="25">
        <v>30.16497</v>
      </c>
      <c r="F224" s="25">
        <v>33.116810000000001</v>
      </c>
      <c r="G224" s="25">
        <v>110.170753</v>
      </c>
      <c r="H224" s="25">
        <v>23.566641000000001</v>
      </c>
      <c r="I224" s="25">
        <v>79.892418000000006</v>
      </c>
      <c r="J224" s="25">
        <v>30.523257999999998</v>
      </c>
      <c r="K224" s="25">
        <v>24.419439000000001</v>
      </c>
      <c r="L224" s="25">
        <v>24787.189452999999</v>
      </c>
      <c r="Z224" s="24">
        <v>44126</v>
      </c>
      <c r="AA224" s="26">
        <v>219</v>
      </c>
      <c r="AB224" s="25">
        <f t="shared" si="27"/>
        <v>0.81967804851992743</v>
      </c>
      <c r="AC224" s="25">
        <f t="shared" si="28"/>
        <v>0.8005794399131767</v>
      </c>
      <c r="AD224" s="25">
        <f t="shared" si="29"/>
        <v>0.86730071323524682</v>
      </c>
      <c r="AE224" s="25">
        <f t="shared" si="30"/>
        <v>0.93760247082050685</v>
      </c>
      <c r="AF224" s="25">
        <f t="shared" si="31"/>
        <v>0.93728087119438397</v>
      </c>
      <c r="AH224" s="25">
        <f t="shared" si="32"/>
        <v>1.1695246543323934E-2</v>
      </c>
      <c r="AI224" s="25">
        <f t="shared" si="32"/>
        <v>1.2587318749952253E-2</v>
      </c>
      <c r="AJ224" s="25">
        <f t="shared" si="32"/>
        <v>7.1672595612964074E-3</v>
      </c>
      <c r="AK224" s="25">
        <f t="shared" si="32"/>
        <v>-1.5997711394957481E-3</v>
      </c>
      <c r="AL224" s="25">
        <f t="shared" si="33"/>
        <v>5.3374506661469923E-3</v>
      </c>
    </row>
    <row r="225" spans="1:38" x14ac:dyDescent="0.2">
      <c r="A225" s="24">
        <v>44132</v>
      </c>
      <c r="B225" s="25">
        <v>39.786754999999999</v>
      </c>
      <c r="C225" s="25">
        <v>62.841208999999999</v>
      </c>
      <c r="D225" s="25">
        <v>9.4550750000000008</v>
      </c>
      <c r="E225" s="25">
        <v>29.138649000000001</v>
      </c>
      <c r="F225" s="25">
        <v>32.870586000000003</v>
      </c>
      <c r="G225" s="25">
        <v>108.92487300000001</v>
      </c>
      <c r="H225" s="25">
        <v>23.151734999999999</v>
      </c>
      <c r="I225" s="25">
        <v>79.644813999999997</v>
      </c>
      <c r="J225" s="25">
        <v>30.120578999999999</v>
      </c>
      <c r="K225" s="25">
        <v>24.353173999999999</v>
      </c>
      <c r="L225" s="25">
        <v>24708.800781000002</v>
      </c>
      <c r="Z225" s="24">
        <v>44127</v>
      </c>
      <c r="AA225" s="26">
        <v>220</v>
      </c>
      <c r="AB225" s="25">
        <f t="shared" si="27"/>
        <v>0.82932066184509912</v>
      </c>
      <c r="AC225" s="25">
        <f t="shared" si="28"/>
        <v>0.8107202775931488</v>
      </c>
      <c r="AD225" s="25">
        <f t="shared" si="29"/>
        <v>0.87353921233009513</v>
      </c>
      <c r="AE225" s="25">
        <f t="shared" si="30"/>
        <v>0.93610372059568769</v>
      </c>
      <c r="AF225" s="25">
        <f t="shared" si="31"/>
        <v>0.94229693619615773</v>
      </c>
      <c r="AH225" s="25">
        <f t="shared" si="32"/>
        <v>-3.3531839401359231E-3</v>
      </c>
      <c r="AI225" s="25">
        <f t="shared" si="32"/>
        <v>-1.6353593564414348E-3</v>
      </c>
      <c r="AJ225" s="25">
        <f t="shared" si="32"/>
        <v>-7.9652813395024724E-3</v>
      </c>
      <c r="AK225" s="25">
        <f t="shared" si="32"/>
        <v>-1.5315167522132453E-2</v>
      </c>
      <c r="AL225" s="25">
        <f t="shared" si="33"/>
        <v>-5.294742451587453E-3</v>
      </c>
    </row>
    <row r="226" spans="1:38" x14ac:dyDescent="0.2">
      <c r="A226" s="24">
        <v>44133</v>
      </c>
      <c r="B226" s="25">
        <v>39.743782000000003</v>
      </c>
      <c r="C226" s="25">
        <v>62.623009000000003</v>
      </c>
      <c r="D226" s="25">
        <v>9.4213660000000008</v>
      </c>
      <c r="E226" s="25">
        <v>28.826288000000002</v>
      </c>
      <c r="F226" s="25">
        <v>32.706435999999997</v>
      </c>
      <c r="G226" s="25">
        <v>107.412025</v>
      </c>
      <c r="H226" s="25">
        <v>23.068753999999998</v>
      </c>
      <c r="I226" s="25">
        <v>81.295479</v>
      </c>
      <c r="J226" s="25">
        <v>29.999773000000001</v>
      </c>
      <c r="K226" s="25">
        <v>23.889303000000002</v>
      </c>
      <c r="L226" s="25">
        <v>24586.599609000001</v>
      </c>
      <c r="Z226" s="24">
        <v>44131</v>
      </c>
      <c r="AA226" s="26">
        <v>221</v>
      </c>
      <c r="AB226" s="25">
        <f t="shared" si="27"/>
        <v>0.82654445428914236</v>
      </c>
      <c r="AC226" s="25">
        <f t="shared" si="28"/>
        <v>0.80939554210625608</v>
      </c>
      <c r="AD226" s="25">
        <f t="shared" si="29"/>
        <v>0.86660886446973884</v>
      </c>
      <c r="AE226" s="25">
        <f t="shared" si="30"/>
        <v>0.92187636058732136</v>
      </c>
      <c r="AF226" s="25">
        <f t="shared" si="31"/>
        <v>0.93732090164174198</v>
      </c>
      <c r="AH226" s="25">
        <f t="shared" si="32"/>
        <v>-1.1848179699528505E-2</v>
      </c>
      <c r="AI226" s="25">
        <f t="shared" si="32"/>
        <v>-1.1880121178608871E-2</v>
      </c>
      <c r="AJ226" s="25">
        <f t="shared" si="32"/>
        <v>-7.4582065957974619E-3</v>
      </c>
      <c r="AK226" s="25">
        <f t="shared" si="32"/>
        <v>4.657051005076962E-4</v>
      </c>
      <c r="AL226" s="25">
        <f t="shared" si="33"/>
        <v>-3.1674783015080976E-3</v>
      </c>
    </row>
    <row r="227" spans="1:38" x14ac:dyDescent="0.2">
      <c r="A227" s="24">
        <v>44134</v>
      </c>
      <c r="B227" s="25">
        <v>40.130482000000001</v>
      </c>
      <c r="C227" s="25">
        <v>62.230251000000003</v>
      </c>
      <c r="D227" s="25">
        <v>9.3876570000000008</v>
      </c>
      <c r="E227" s="25">
        <v>28.647794999999999</v>
      </c>
      <c r="F227" s="25">
        <v>32.706435999999997</v>
      </c>
      <c r="G227" s="25">
        <v>106.077156</v>
      </c>
      <c r="H227" s="25">
        <v>22.778317999999999</v>
      </c>
      <c r="I227" s="25">
        <v>81.831947</v>
      </c>
      <c r="J227" s="25">
        <v>29.717898999999999</v>
      </c>
      <c r="K227" s="25">
        <v>23.392302000000001</v>
      </c>
      <c r="L227" s="25">
        <v>24107.419922000001</v>
      </c>
      <c r="Z227" s="24">
        <v>44132</v>
      </c>
      <c r="AA227" s="26">
        <v>222</v>
      </c>
      <c r="AB227" s="25">
        <f t="shared" si="27"/>
        <v>0.81680919351018311</v>
      </c>
      <c r="AC227" s="25">
        <f t="shared" si="28"/>
        <v>0.79983671740775764</v>
      </c>
      <c r="AD227" s="25">
        <f t="shared" si="29"/>
        <v>0.86016955920402904</v>
      </c>
      <c r="AE227" s="25">
        <f t="shared" si="30"/>
        <v>0.92230578309484923</v>
      </c>
      <c r="AF227" s="25">
        <f t="shared" si="31"/>
        <v>0.93435665509588584</v>
      </c>
      <c r="AH227" s="25">
        <f t="shared" si="32"/>
        <v>-3.2275152748807989E-3</v>
      </c>
      <c r="AI227" s="25">
        <f t="shared" si="32"/>
        <v>-3.7509592429550986E-3</v>
      </c>
      <c r="AJ227" s="25">
        <f t="shared" si="32"/>
        <v>-2.8821523394035875E-3</v>
      </c>
      <c r="AK227" s="25">
        <f t="shared" si="32"/>
        <v>-2.8036549876499506E-3</v>
      </c>
      <c r="AL227" s="25">
        <f t="shared" si="33"/>
        <v>-4.9579239179351475E-3</v>
      </c>
    </row>
    <row r="228" spans="1:38" x14ac:dyDescent="0.2">
      <c r="A228" s="24">
        <v>44137</v>
      </c>
      <c r="B228" s="25">
        <v>40.646076000000001</v>
      </c>
      <c r="C228" s="25">
        <v>62.142978999999997</v>
      </c>
      <c r="D228" s="25">
        <v>9.3876570000000008</v>
      </c>
      <c r="E228" s="25">
        <v>29.272514000000001</v>
      </c>
      <c r="F228" s="25">
        <v>32.419178000000002</v>
      </c>
      <c r="G228" s="25">
        <v>108.92487300000001</v>
      </c>
      <c r="H228" s="25">
        <v>22.695340999999999</v>
      </c>
      <c r="I228" s="25">
        <v>80.593941000000001</v>
      </c>
      <c r="J228" s="25">
        <v>29.355484000000001</v>
      </c>
      <c r="K228" s="25">
        <v>23.491707000000002</v>
      </c>
      <c r="L228" s="25">
        <v>24460.009765999999</v>
      </c>
      <c r="Z228" s="24">
        <v>44133</v>
      </c>
      <c r="AA228" s="26">
        <v>223</v>
      </c>
      <c r="AB228" s="25">
        <f t="shared" si="27"/>
        <v>0.81417717907963072</v>
      </c>
      <c r="AC228" s="25">
        <f t="shared" si="28"/>
        <v>0.79684218218055225</v>
      </c>
      <c r="AD228" s="25">
        <f t="shared" si="29"/>
        <v>0.85769398869602353</v>
      </c>
      <c r="AE228" s="25">
        <f t="shared" si="30"/>
        <v>0.91972357738434474</v>
      </c>
      <c r="AF228" s="25">
        <f t="shared" si="31"/>
        <v>0.9297356506476846</v>
      </c>
      <c r="AH228" s="25">
        <f t="shared" si="32"/>
        <v>-6.0071816052926497E-3</v>
      </c>
      <c r="AI228" s="25">
        <f t="shared" si="32"/>
        <v>-5.3479328146590344E-3</v>
      </c>
      <c r="AJ228" s="25">
        <f t="shared" si="32"/>
        <v>-2.6598814237840385E-3</v>
      </c>
      <c r="AK228" s="25">
        <f t="shared" si="32"/>
        <v>4.1007946787332411E-3</v>
      </c>
      <c r="AL228" s="25">
        <f t="shared" si="33"/>
        <v>-1.9681889484813198E-2</v>
      </c>
    </row>
    <row r="229" spans="1:38" x14ac:dyDescent="0.2">
      <c r="A229" s="24">
        <v>44138</v>
      </c>
      <c r="B229" s="25">
        <v>41.849133000000002</v>
      </c>
      <c r="C229" s="25">
        <v>63.146687</v>
      </c>
      <c r="D229" s="25">
        <v>9.4887809999999995</v>
      </c>
      <c r="E229" s="25">
        <v>30.16497</v>
      </c>
      <c r="F229" s="25">
        <v>32.829552</v>
      </c>
      <c r="G229" s="25">
        <v>112.039558</v>
      </c>
      <c r="H229" s="25">
        <v>23.359188</v>
      </c>
      <c r="I229" s="25">
        <v>83.111205999999996</v>
      </c>
      <c r="J229" s="25">
        <v>29.597092</v>
      </c>
      <c r="K229" s="25">
        <v>24.651378999999999</v>
      </c>
      <c r="L229" s="25">
        <v>24939.730468999998</v>
      </c>
      <c r="Z229" s="24">
        <v>44134</v>
      </c>
      <c r="AA229" s="26">
        <v>224</v>
      </c>
      <c r="AB229" s="25">
        <f t="shared" si="27"/>
        <v>0.8093009298271997</v>
      </c>
      <c r="AC229" s="25">
        <f t="shared" si="28"/>
        <v>0.79259209843702083</v>
      </c>
      <c r="AD229" s="25">
        <f t="shared" si="29"/>
        <v>0.85541565577916223</v>
      </c>
      <c r="AE229" s="25">
        <f t="shared" si="30"/>
        <v>0.92350291879167568</v>
      </c>
      <c r="AF229" s="25">
        <f t="shared" si="31"/>
        <v>0.91161559967865935</v>
      </c>
      <c r="AH229" s="25">
        <f t="shared" si="32"/>
        <v>-2.7323328355589038E-3</v>
      </c>
      <c r="AI229" s="25">
        <f t="shared" si="32"/>
        <v>-1.126505577522724E-3</v>
      </c>
      <c r="AJ229" s="25">
        <f t="shared" si="32"/>
        <v>-5.5806457490991668E-3</v>
      </c>
      <c r="AK229" s="25">
        <f t="shared" si="32"/>
        <v>-1.0243237612557785E-2</v>
      </c>
      <c r="AL229" s="25">
        <f t="shared" si="33"/>
        <v>1.4519855831029105E-2</v>
      </c>
    </row>
    <row r="230" spans="1:38" x14ac:dyDescent="0.2">
      <c r="A230" s="24">
        <v>44139</v>
      </c>
      <c r="B230" s="25">
        <v>41.677269000000003</v>
      </c>
      <c r="C230" s="25">
        <v>63.233967</v>
      </c>
      <c r="D230" s="25">
        <v>9.5393439999999998</v>
      </c>
      <c r="E230" s="25">
        <v>30.16497</v>
      </c>
      <c r="F230" s="25">
        <v>32.911620999999997</v>
      </c>
      <c r="G230" s="25">
        <v>110.170753</v>
      </c>
      <c r="H230" s="25">
        <v>23.815584000000001</v>
      </c>
      <c r="I230" s="25">
        <v>83.028678999999997</v>
      </c>
      <c r="J230" s="25">
        <v>29.838697</v>
      </c>
      <c r="K230" s="25">
        <v>24.817045</v>
      </c>
      <c r="L230" s="25">
        <v>24886.140625</v>
      </c>
      <c r="Z230" s="24">
        <v>44137</v>
      </c>
      <c r="AA230" s="26">
        <v>225</v>
      </c>
      <c r="AB230" s="25">
        <f t="shared" si="27"/>
        <v>0.80709266854902506</v>
      </c>
      <c r="AC230" s="25">
        <f t="shared" si="28"/>
        <v>0.79169974173420032</v>
      </c>
      <c r="AD230" s="25">
        <f t="shared" si="29"/>
        <v>0.85065517965630477</v>
      </c>
      <c r="AE230" s="25">
        <f t="shared" si="30"/>
        <v>0.91409154272896365</v>
      </c>
      <c r="AF230" s="25">
        <f t="shared" si="31"/>
        <v>0.9249486897861301</v>
      </c>
      <c r="AH230" s="25">
        <f t="shared" si="32"/>
        <v>1.8594906748247597E-2</v>
      </c>
      <c r="AI230" s="25">
        <f t="shared" si="32"/>
        <v>1.9026256719499979E-2</v>
      </c>
      <c r="AJ230" s="25">
        <f t="shared" si="32"/>
        <v>1.3210830248593763E-2</v>
      </c>
      <c r="AK230" s="25">
        <f t="shared" si="32"/>
        <v>3.7995506814477026E-3</v>
      </c>
      <c r="AL230" s="25">
        <f t="shared" si="33"/>
        <v>1.9422603493215007E-2</v>
      </c>
    </row>
    <row r="231" spans="1:38" x14ac:dyDescent="0.2">
      <c r="A231" s="24">
        <v>44140</v>
      </c>
      <c r="B231" s="25">
        <v>45.372363999999997</v>
      </c>
      <c r="C231" s="25">
        <v>63.626724000000003</v>
      </c>
      <c r="D231" s="25">
        <v>9.6067599999999995</v>
      </c>
      <c r="E231" s="25">
        <v>30.477329000000001</v>
      </c>
      <c r="F231" s="25">
        <v>33.363025999999998</v>
      </c>
      <c r="G231" s="25">
        <v>110.971649</v>
      </c>
      <c r="H231" s="25">
        <v>24.437944000000002</v>
      </c>
      <c r="I231" s="25">
        <v>84.101624000000001</v>
      </c>
      <c r="J231" s="25">
        <v>30.442720000000001</v>
      </c>
      <c r="K231" s="25">
        <v>25.015846</v>
      </c>
      <c r="L231" s="25">
        <v>25695.919922000001</v>
      </c>
      <c r="Z231" s="24">
        <v>44138</v>
      </c>
      <c r="AA231" s="26">
        <v>226</v>
      </c>
      <c r="AB231" s="25">
        <f t="shared" si="27"/>
        <v>0.82224088481086832</v>
      </c>
      <c r="AC231" s="25">
        <f t="shared" si="28"/>
        <v>0.80690703444415979</v>
      </c>
      <c r="AD231" s="25">
        <f t="shared" si="29"/>
        <v>0.86196759953871027</v>
      </c>
      <c r="AE231" s="25">
        <f t="shared" si="30"/>
        <v>0.91757128641799712</v>
      </c>
      <c r="AF231" s="25">
        <f t="shared" si="31"/>
        <v>0.94308919912966716</v>
      </c>
      <c r="AH231" s="25">
        <f t="shared" si="32"/>
        <v>3.739350047600204E-3</v>
      </c>
      <c r="AI231" s="25">
        <f t="shared" si="32"/>
        <v>2.9838489470360163E-3</v>
      </c>
      <c r="AJ231" s="25">
        <f t="shared" si="32"/>
        <v>3.3203665751583289E-3</v>
      </c>
      <c r="AK231" s="25">
        <f t="shared" si="32"/>
        <v>2.2337599670474578E-3</v>
      </c>
      <c r="AL231" s="25">
        <f t="shared" si="33"/>
        <v>-2.1510859112918723E-3</v>
      </c>
    </row>
    <row r="232" spans="1:38" x14ac:dyDescent="0.2">
      <c r="A232" s="24">
        <v>44141</v>
      </c>
      <c r="B232" s="25">
        <v>44.255245000000002</v>
      </c>
      <c r="C232" s="25">
        <v>63.670363999999999</v>
      </c>
      <c r="D232" s="25">
        <v>9.6741759999999992</v>
      </c>
      <c r="E232" s="25">
        <v>30.968178000000002</v>
      </c>
      <c r="F232" s="25">
        <v>33.321987</v>
      </c>
      <c r="G232" s="25">
        <v>111.772583</v>
      </c>
      <c r="H232" s="25">
        <v>24.645396999999999</v>
      </c>
      <c r="I232" s="25">
        <v>85.752280999999996</v>
      </c>
      <c r="J232" s="25">
        <v>30.482990000000001</v>
      </c>
      <c r="K232" s="25">
        <v>25.380317999999999</v>
      </c>
      <c r="L232" s="25">
        <v>25712.970702999999</v>
      </c>
      <c r="Z232" s="24">
        <v>44139</v>
      </c>
      <c r="AA232" s="26">
        <v>227</v>
      </c>
      <c r="AB232" s="25">
        <f t="shared" si="27"/>
        <v>0.82532128706441055</v>
      </c>
      <c r="AC232" s="25">
        <f t="shared" si="28"/>
        <v>0.80931831881436345</v>
      </c>
      <c r="AD232" s="25">
        <f t="shared" si="29"/>
        <v>0.86483440473332374</v>
      </c>
      <c r="AE232" s="25">
        <f t="shared" si="30"/>
        <v>0.91962321132516178</v>
      </c>
      <c r="AF232" s="25">
        <f t="shared" si="31"/>
        <v>0.94106271359397686</v>
      </c>
      <c r="AH232" s="25">
        <f t="shared" si="32"/>
        <v>1.9346861848262203E-2</v>
      </c>
      <c r="AI232" s="25">
        <f t="shared" si="32"/>
        <v>1.8751317185068311E-2</v>
      </c>
      <c r="AJ232" s="25">
        <f t="shared" si="32"/>
        <v>1.5868579151889439E-2</v>
      </c>
      <c r="AK232" s="25">
        <f t="shared" si="32"/>
        <v>1.1875094781036766E-2</v>
      </c>
      <c r="AL232" s="25">
        <f t="shared" si="33"/>
        <v>3.20211742939982E-2</v>
      </c>
    </row>
    <row r="233" spans="1:38" x14ac:dyDescent="0.2">
      <c r="A233" s="24">
        <v>44144</v>
      </c>
      <c r="B233" s="25">
        <v>43.309989999999999</v>
      </c>
      <c r="C233" s="25">
        <v>63.714016000000001</v>
      </c>
      <c r="D233" s="25">
        <v>9.7078819999999997</v>
      </c>
      <c r="E233" s="25">
        <v>31.102045</v>
      </c>
      <c r="F233" s="25">
        <v>33.116810000000001</v>
      </c>
      <c r="G233" s="25">
        <v>112.48452</v>
      </c>
      <c r="H233" s="25">
        <v>24.520924000000001</v>
      </c>
      <c r="I233" s="25">
        <v>84.896468999999996</v>
      </c>
      <c r="J233" s="25">
        <v>30.040039</v>
      </c>
      <c r="K233" s="25">
        <v>25.082111000000001</v>
      </c>
      <c r="L233" s="25">
        <v>26016.169922000001</v>
      </c>
      <c r="Z233" s="24">
        <v>44140</v>
      </c>
      <c r="AA233" s="26">
        <v>228</v>
      </c>
      <c r="AB233" s="25">
        <f t="shared" si="27"/>
        <v>0.8414441242409495</v>
      </c>
      <c r="AC233" s="25">
        <f t="shared" si="28"/>
        <v>0.82463727980425838</v>
      </c>
      <c r="AD233" s="25">
        <f t="shared" si="29"/>
        <v>0.87866756395091394</v>
      </c>
      <c r="AE233" s="25">
        <f t="shared" si="30"/>
        <v>0.93060892320924349</v>
      </c>
      <c r="AF233" s="25">
        <f t="shared" si="31"/>
        <v>0.97168429988693161</v>
      </c>
      <c r="AH233" s="25">
        <f t="shared" si="32"/>
        <v>3.7508589075880561E-3</v>
      </c>
      <c r="AI233" s="25">
        <f t="shared" si="32"/>
        <v>3.458081069565494E-3</v>
      </c>
      <c r="AJ233" s="25">
        <f t="shared" si="32"/>
        <v>-3.2806739277677077E-4</v>
      </c>
      <c r="AK233" s="25">
        <f t="shared" si="32"/>
        <v>-9.3225943568990138E-3</v>
      </c>
      <c r="AL233" s="25">
        <f t="shared" si="33"/>
        <v>6.6333980048760566E-4</v>
      </c>
    </row>
    <row r="234" spans="1:38" x14ac:dyDescent="0.2">
      <c r="A234" s="24">
        <v>44145</v>
      </c>
      <c r="B234" s="25">
        <v>44.513038999999999</v>
      </c>
      <c r="C234" s="25">
        <v>63.321255000000001</v>
      </c>
      <c r="D234" s="25">
        <v>9.8090069999999994</v>
      </c>
      <c r="E234" s="25">
        <v>33.645541999999999</v>
      </c>
      <c r="F234" s="25">
        <v>33.568218000000002</v>
      </c>
      <c r="G234" s="25">
        <v>117.290009</v>
      </c>
      <c r="H234" s="25">
        <v>25.475206</v>
      </c>
      <c r="I234" s="25">
        <v>89.004372000000004</v>
      </c>
      <c r="J234" s="25">
        <v>32.013179999999998</v>
      </c>
      <c r="K234" s="25">
        <v>27.003864</v>
      </c>
      <c r="L234" s="25">
        <v>26301.480468999998</v>
      </c>
      <c r="Z234" s="24">
        <v>44141</v>
      </c>
      <c r="AA234" s="26">
        <v>229</v>
      </c>
      <c r="AB234" s="25">
        <f t="shared" si="27"/>
        <v>0.84460618895164818</v>
      </c>
      <c r="AC234" s="25">
        <f t="shared" si="28"/>
        <v>0.82749387869941127</v>
      </c>
      <c r="AD234" s="25">
        <f t="shared" si="29"/>
        <v>0.87837934905363102</v>
      </c>
      <c r="AE234" s="25">
        <f t="shared" si="30"/>
        <v>0.92197354830409639</v>
      </c>
      <c r="AF234" s="25">
        <f t="shared" si="31"/>
        <v>0.97232907058394502</v>
      </c>
      <c r="AH234" s="25">
        <f t="shared" si="32"/>
        <v>-7.6524670017126262E-3</v>
      </c>
      <c r="AI234" s="25">
        <f t="shared" si="32"/>
        <v>-6.239756192537943E-3</v>
      </c>
      <c r="AJ234" s="25">
        <f t="shared" si="32"/>
        <v>-4.7313033612540745E-3</v>
      </c>
      <c r="AK234" s="25">
        <f t="shared" si="32"/>
        <v>-8.925307936823168E-5</v>
      </c>
      <c r="AL234" s="25">
        <f t="shared" si="33"/>
        <v>1.1722703586800165E-2</v>
      </c>
    </row>
    <row r="235" spans="1:38" x14ac:dyDescent="0.2">
      <c r="A235" s="24">
        <v>44146</v>
      </c>
      <c r="B235" s="25">
        <v>46.747287999999998</v>
      </c>
      <c r="C235" s="25">
        <v>65.459594999999993</v>
      </c>
      <c r="D235" s="25">
        <v>10.146087</v>
      </c>
      <c r="E235" s="25">
        <v>35.028851000000003</v>
      </c>
      <c r="F235" s="25">
        <v>34.429988999999999</v>
      </c>
      <c r="G235" s="25">
        <v>120.137733</v>
      </c>
      <c r="H235" s="25">
        <v>26.097567000000002</v>
      </c>
      <c r="I235" s="25">
        <v>91.828552000000002</v>
      </c>
      <c r="J235" s="25">
        <v>32.979613999999998</v>
      </c>
      <c r="K235" s="25">
        <v>29.455746000000001</v>
      </c>
      <c r="L235" s="25">
        <v>26226.980468999998</v>
      </c>
      <c r="Z235" s="24">
        <v>44144</v>
      </c>
      <c r="AA235" s="26">
        <v>230</v>
      </c>
      <c r="AB235" s="25">
        <f t="shared" si="27"/>
        <v>0.8381675351747695</v>
      </c>
      <c r="AC235" s="25">
        <f t="shared" si="28"/>
        <v>0.82234659424612311</v>
      </c>
      <c r="AD235" s="25">
        <f t="shared" si="29"/>
        <v>0.87423328576280201</v>
      </c>
      <c r="AE235" s="25">
        <f t="shared" si="30"/>
        <v>0.9218912629979773</v>
      </c>
      <c r="AF235" s="25">
        <f t="shared" si="31"/>
        <v>0.98379446749265986</v>
      </c>
      <c r="AH235" s="25">
        <f t="shared" si="32"/>
        <v>4.3143697303216128E-2</v>
      </c>
      <c r="AI235" s="25">
        <f t="shared" si="32"/>
        <v>3.8346347556049737E-2</v>
      </c>
      <c r="AJ235" s="25">
        <f t="shared" si="32"/>
        <v>1.253241665931458E-2</v>
      </c>
      <c r="AK235" s="25">
        <f t="shared" si="32"/>
        <v>-4.6861114106077878E-2</v>
      </c>
      <c r="AL235" s="25">
        <f t="shared" si="33"/>
        <v>1.0906964410104081E-2</v>
      </c>
    </row>
    <row r="236" spans="1:38" x14ac:dyDescent="0.2">
      <c r="A236" s="24">
        <v>44147</v>
      </c>
      <c r="B236" s="25">
        <v>45.973891999999999</v>
      </c>
      <c r="C236" s="25">
        <v>64.368590999999995</v>
      </c>
      <c r="D236" s="25">
        <v>10.196649000000001</v>
      </c>
      <c r="E236" s="25">
        <v>34.225636000000002</v>
      </c>
      <c r="F236" s="25">
        <v>33.896507</v>
      </c>
      <c r="G236" s="25">
        <v>116.57809399999999</v>
      </c>
      <c r="H236" s="25">
        <v>25.724152</v>
      </c>
      <c r="I236" s="25">
        <v>89.860175999999996</v>
      </c>
      <c r="J236" s="25">
        <v>32.295054999999998</v>
      </c>
      <c r="K236" s="25">
        <v>29.124407000000001</v>
      </c>
      <c r="L236" s="25">
        <v>26169.380859000001</v>
      </c>
      <c r="Z236" s="24">
        <v>44145</v>
      </c>
      <c r="AA236" s="26">
        <v>231</v>
      </c>
      <c r="AB236" s="25">
        <f t="shared" si="27"/>
        <v>0.87512059563734501</v>
      </c>
      <c r="AC236" s="25">
        <f t="shared" si="28"/>
        <v>0.85449299200901985</v>
      </c>
      <c r="AD236" s="25">
        <f t="shared" si="29"/>
        <v>0.88525848344051461</v>
      </c>
      <c r="AE236" s="25">
        <f t="shared" si="30"/>
        <v>0.87968700360703145</v>
      </c>
      <c r="AF236" s="25">
        <f t="shared" si="31"/>
        <v>0.99458340908158083</v>
      </c>
      <c r="AH236" s="25">
        <f t="shared" si="32"/>
        <v>3.3269718314196173E-2</v>
      </c>
      <c r="AI236" s="25">
        <f t="shared" si="32"/>
        <v>3.3499003478889636E-2</v>
      </c>
      <c r="AJ236" s="25">
        <f t="shared" si="32"/>
        <v>2.9587663895303942E-2</v>
      </c>
      <c r="AK236" s="25">
        <f t="shared" si="32"/>
        <v>2.3592658164161132E-2</v>
      </c>
      <c r="AL236" s="25">
        <f t="shared" si="33"/>
        <v>-2.8365594050274723E-3</v>
      </c>
    </row>
    <row r="237" spans="1:38" x14ac:dyDescent="0.2">
      <c r="A237" s="24">
        <v>44148</v>
      </c>
      <c r="B237" s="25">
        <v>46.575420000000001</v>
      </c>
      <c r="C237" s="25">
        <v>64.281318999999996</v>
      </c>
      <c r="D237" s="25">
        <v>10.146087</v>
      </c>
      <c r="E237" s="25">
        <v>33.243941999999997</v>
      </c>
      <c r="F237" s="25">
        <v>33.896507</v>
      </c>
      <c r="G237" s="25">
        <v>115.065262</v>
      </c>
      <c r="H237" s="25">
        <v>25.558187</v>
      </c>
      <c r="I237" s="25">
        <v>89.175522000000001</v>
      </c>
      <c r="J237" s="25">
        <v>32.21452</v>
      </c>
      <c r="K237" s="25">
        <v>28.660537999999999</v>
      </c>
      <c r="L237" s="25">
        <v>26156.859375</v>
      </c>
      <c r="Z237" s="24">
        <v>44146</v>
      </c>
      <c r="AA237" s="26">
        <v>232</v>
      </c>
      <c r="AB237" s="25">
        <f t="shared" si="27"/>
        <v>0.9047253516132906</v>
      </c>
      <c r="AC237" s="25">
        <f t="shared" si="28"/>
        <v>0.88360250339979995</v>
      </c>
      <c r="AD237" s="25">
        <f t="shared" si="29"/>
        <v>0.91184255484805476</v>
      </c>
      <c r="AE237" s="25">
        <f t="shared" si="30"/>
        <v>0.90068791796433667</v>
      </c>
      <c r="AF237" s="25">
        <f t="shared" si="31"/>
        <v>0.99176621162138801</v>
      </c>
      <c r="AH237" s="25">
        <f t="shared" si="32"/>
        <v>-1.7834965878732525E-2</v>
      </c>
      <c r="AI237" s="25">
        <f t="shared" si="32"/>
        <v>-1.6981668519796336E-2</v>
      </c>
      <c r="AJ237" s="25">
        <f t="shared" si="32"/>
        <v>-1.2143437048814654E-2</v>
      </c>
      <c r="AK237" s="25">
        <f t="shared" si="32"/>
        <v>-6.6382063959315174E-4</v>
      </c>
      <c r="AL237" s="25">
        <f t="shared" si="33"/>
        <v>-2.1986119548262906E-3</v>
      </c>
    </row>
    <row r="238" spans="1:38" x14ac:dyDescent="0.2">
      <c r="A238" s="24">
        <v>44151</v>
      </c>
      <c r="B238" s="25">
        <v>47.391784999999999</v>
      </c>
      <c r="C238" s="25">
        <v>64.499511999999996</v>
      </c>
      <c r="D238" s="25">
        <v>10.179792000000001</v>
      </c>
      <c r="E238" s="25">
        <v>34.627243</v>
      </c>
      <c r="F238" s="25">
        <v>33.896507</v>
      </c>
      <c r="G238" s="25">
        <v>115.777176</v>
      </c>
      <c r="H238" s="25">
        <v>25.724152</v>
      </c>
      <c r="I238" s="25">
        <v>89.089950999999999</v>
      </c>
      <c r="J238" s="25">
        <v>31.932639999999999</v>
      </c>
      <c r="K238" s="25">
        <v>28.196669</v>
      </c>
      <c r="L238" s="25">
        <v>26381.669922000001</v>
      </c>
      <c r="Z238" s="24">
        <v>44147</v>
      </c>
      <c r="AA238" s="26">
        <v>233</v>
      </c>
      <c r="AB238" s="25">
        <f t="shared" si="27"/>
        <v>0.88873264445004319</v>
      </c>
      <c r="AC238" s="25">
        <f t="shared" si="28"/>
        <v>0.86872414579862722</v>
      </c>
      <c r="AD238" s="25">
        <f t="shared" si="29"/>
        <v>0.90083661241653357</v>
      </c>
      <c r="AE238" s="25">
        <f t="shared" si="30"/>
        <v>0.90009022113825277</v>
      </c>
      <c r="AF238" s="25">
        <f t="shared" si="31"/>
        <v>0.98958809786299762</v>
      </c>
      <c r="AH238" s="25">
        <f t="shared" si="32"/>
        <v>-5.0439097549634937E-3</v>
      </c>
      <c r="AI238" s="25">
        <f t="shared" si="32"/>
        <v>-5.2829094883859729E-3</v>
      </c>
      <c r="AJ238" s="25">
        <f t="shared" si="32"/>
        <v>3.3296415774390631E-4</v>
      </c>
      <c r="AK238" s="25">
        <f t="shared" si="32"/>
        <v>1.1572921112259618E-2</v>
      </c>
      <c r="AL238" s="25">
        <f t="shared" si="33"/>
        <v>-4.785929271040601E-4</v>
      </c>
    </row>
    <row r="239" spans="1:38" x14ac:dyDescent="0.2">
      <c r="A239" s="24">
        <v>44152</v>
      </c>
      <c r="B239" s="25">
        <v>49.840854999999998</v>
      </c>
      <c r="C239" s="25">
        <v>64.543159000000003</v>
      </c>
      <c r="D239" s="25">
        <v>10.146087</v>
      </c>
      <c r="E239" s="25">
        <v>35.028851000000003</v>
      </c>
      <c r="F239" s="25">
        <v>33.978580000000001</v>
      </c>
      <c r="G239" s="25">
        <v>115.243225</v>
      </c>
      <c r="H239" s="25">
        <v>26.180546</v>
      </c>
      <c r="I239" s="25">
        <v>91.058327000000006</v>
      </c>
      <c r="J239" s="25">
        <v>32.617198999999999</v>
      </c>
      <c r="K239" s="25">
        <v>29.290075000000002</v>
      </c>
      <c r="L239" s="25">
        <v>26415.089843999998</v>
      </c>
      <c r="Z239" s="24">
        <v>44148</v>
      </c>
      <c r="AA239" s="26">
        <v>234</v>
      </c>
      <c r="AB239" s="25">
        <f t="shared" si="27"/>
        <v>0.8842612433467173</v>
      </c>
      <c r="AC239" s="25">
        <f t="shared" si="28"/>
        <v>0.86414685611522457</v>
      </c>
      <c r="AD239" s="25">
        <f t="shared" si="29"/>
        <v>0.90113660866167866</v>
      </c>
      <c r="AE239" s="25">
        <f t="shared" si="30"/>
        <v>0.9105674031257055</v>
      </c>
      <c r="AF239" s="25">
        <f t="shared" si="31"/>
        <v>0.98911460131370033</v>
      </c>
      <c r="AH239" s="25">
        <f t="shared" si="32"/>
        <v>1.2762045630068802E-3</v>
      </c>
      <c r="AI239" s="25">
        <f t="shared" si="32"/>
        <v>3.320010551693342E-3</v>
      </c>
      <c r="AJ239" s="25">
        <f t="shared" si="32"/>
        <v>-1.2596451058828617E-4</v>
      </c>
      <c r="AK239" s="25">
        <f t="shared" si="32"/>
        <v>-1.9127200590521171E-3</v>
      </c>
      <c r="AL239" s="25">
        <f t="shared" si="33"/>
        <v>8.5579829539490504E-3</v>
      </c>
    </row>
    <row r="240" spans="1:38" x14ac:dyDescent="0.2">
      <c r="A240" s="24">
        <v>44153</v>
      </c>
      <c r="B240" s="25">
        <v>49.626021999999999</v>
      </c>
      <c r="C240" s="25">
        <v>64.237694000000005</v>
      </c>
      <c r="D240" s="25">
        <v>10.264065</v>
      </c>
      <c r="E240" s="25">
        <v>34.984226</v>
      </c>
      <c r="F240" s="25">
        <v>34.101685000000003</v>
      </c>
      <c r="G240" s="25">
        <v>115.866165</v>
      </c>
      <c r="H240" s="25">
        <v>26.139057000000001</v>
      </c>
      <c r="I240" s="25">
        <v>91.315055999999998</v>
      </c>
      <c r="J240" s="25">
        <v>32.496395</v>
      </c>
      <c r="K240" s="25">
        <v>31.013020999999998</v>
      </c>
      <c r="L240" s="25">
        <v>26544.289063</v>
      </c>
      <c r="Z240" s="24">
        <v>44151</v>
      </c>
      <c r="AA240" s="26">
        <v>235</v>
      </c>
      <c r="AB240" s="25">
        <f t="shared" si="27"/>
        <v>0.88539046198409233</v>
      </c>
      <c r="AC240" s="25">
        <f t="shared" si="28"/>
        <v>0.86702060058707808</v>
      </c>
      <c r="AD240" s="25">
        <f t="shared" si="29"/>
        <v>0.90102310457868862</v>
      </c>
      <c r="AE240" s="25">
        <f t="shared" si="30"/>
        <v>0.90882740718168131</v>
      </c>
      <c r="AF240" s="25">
        <f t="shared" si="31"/>
        <v>0.9976157516765588</v>
      </c>
      <c r="AH240" s="25">
        <f t="shared" si="32"/>
        <v>1.6026802106687693E-2</v>
      </c>
      <c r="AI240" s="25">
        <f t="shared" si="32"/>
        <v>1.4048953530103159E-2</v>
      </c>
      <c r="AJ240" s="25">
        <f t="shared" si="32"/>
        <v>6.0796861792697804E-3</v>
      </c>
      <c r="AK240" s="25">
        <f t="shared" si="32"/>
        <v>-1.2281980733200568E-2</v>
      </c>
      <c r="AL240" s="25">
        <f t="shared" si="33"/>
        <v>1.2659839964292985E-3</v>
      </c>
    </row>
    <row r="241" spans="1:38" x14ac:dyDescent="0.2">
      <c r="A241" s="24">
        <v>44154</v>
      </c>
      <c r="B241" s="25">
        <v>49.883823</v>
      </c>
      <c r="C241" s="25">
        <v>64.150406000000004</v>
      </c>
      <c r="D241" s="25">
        <v>10.230354999999999</v>
      </c>
      <c r="E241" s="25">
        <v>34.894978000000002</v>
      </c>
      <c r="F241" s="25">
        <v>33.814438000000003</v>
      </c>
      <c r="G241" s="25">
        <v>118.001953</v>
      </c>
      <c r="H241" s="25">
        <v>26.014585</v>
      </c>
      <c r="I241" s="25">
        <v>91.229477000000003</v>
      </c>
      <c r="J241" s="25">
        <v>32.496395</v>
      </c>
      <c r="K241" s="25">
        <v>30.880483999999999</v>
      </c>
      <c r="L241" s="25">
        <v>26356.970702999999</v>
      </c>
      <c r="Z241" s="24">
        <v>44152</v>
      </c>
      <c r="AA241" s="26">
        <v>236</v>
      </c>
      <c r="AB241" s="25">
        <f t="shared" si="27"/>
        <v>0.89969475959877754</v>
      </c>
      <c r="AC241" s="25">
        <f t="shared" si="28"/>
        <v>0.87928729808693218</v>
      </c>
      <c r="AD241" s="25">
        <f t="shared" si="29"/>
        <v>0.90651772816372012</v>
      </c>
      <c r="AE241" s="25">
        <f t="shared" si="30"/>
        <v>0.89773347367259027</v>
      </c>
      <c r="AF241" s="25">
        <f t="shared" si="31"/>
        <v>0.99887951703734046</v>
      </c>
      <c r="AH241" s="25">
        <f t="shared" si="32"/>
        <v>1.8945776588383395E-3</v>
      </c>
      <c r="AI241" s="25">
        <f t="shared" si="32"/>
        <v>2.3382625681638014E-3</v>
      </c>
      <c r="AJ241" s="25">
        <f t="shared" si="32"/>
        <v>1.0767578422192503E-3</v>
      </c>
      <c r="AK241" s="25">
        <f t="shared" si="32"/>
        <v>7.9013447861542296E-5</v>
      </c>
      <c r="AL241" s="25">
        <f t="shared" si="33"/>
        <v>4.879191485308354E-3</v>
      </c>
    </row>
    <row r="242" spans="1:38" x14ac:dyDescent="0.2">
      <c r="A242" s="24">
        <v>44155</v>
      </c>
      <c r="B242" s="25">
        <v>48.852631000000002</v>
      </c>
      <c r="C242" s="25">
        <v>63.801276999999999</v>
      </c>
      <c r="D242" s="25">
        <v>10.162940000000001</v>
      </c>
      <c r="E242" s="25">
        <v>34.716492000000002</v>
      </c>
      <c r="F242" s="25">
        <v>33.691322</v>
      </c>
      <c r="G242" s="25">
        <v>117.201019</v>
      </c>
      <c r="H242" s="25">
        <v>25.973092999999999</v>
      </c>
      <c r="I242" s="25">
        <v>91.143897999999993</v>
      </c>
      <c r="J242" s="25">
        <v>32.013179999999998</v>
      </c>
      <c r="K242" s="25">
        <v>30.317216999999999</v>
      </c>
      <c r="L242" s="25">
        <v>26451.539063</v>
      </c>
      <c r="Z242" s="24">
        <v>44153</v>
      </c>
      <c r="AA242" s="26">
        <v>237</v>
      </c>
      <c r="AB242" s="25">
        <f t="shared" si="27"/>
        <v>0.90140091690349977</v>
      </c>
      <c r="AC242" s="25">
        <f t="shared" si="28"/>
        <v>0.88134570827660075</v>
      </c>
      <c r="AD242" s="25">
        <f t="shared" si="29"/>
        <v>0.9074943539370024</v>
      </c>
      <c r="AE242" s="25">
        <f t="shared" si="30"/>
        <v>0.89780440949201079</v>
      </c>
      <c r="AF242" s="25">
        <f t="shared" si="31"/>
        <v>1.003765150750437</v>
      </c>
      <c r="AH242" s="25">
        <f t="shared" si="32"/>
        <v>-9.5283587278990889E-5</v>
      </c>
      <c r="AI242" s="25">
        <f t="shared" si="32"/>
        <v>-4.8629958333054613E-4</v>
      </c>
      <c r="AJ242" s="25">
        <f t="shared" si="32"/>
        <v>-3.4322631648305291E-3</v>
      </c>
      <c r="AK242" s="25">
        <f t="shared" si="32"/>
        <v>-1.0848599041141688E-2</v>
      </c>
      <c r="AL242" s="25">
        <f t="shared" si="33"/>
        <v>-7.0818405346511071E-3</v>
      </c>
    </row>
    <row r="243" spans="1:38" x14ac:dyDescent="0.2">
      <c r="A243" s="24">
        <v>44158</v>
      </c>
      <c r="B243" s="25">
        <v>48.637802000000001</v>
      </c>
      <c r="C243" s="25">
        <v>63.321255000000001</v>
      </c>
      <c r="D243" s="25">
        <v>10.129232</v>
      </c>
      <c r="E243" s="25">
        <v>35.118091999999997</v>
      </c>
      <c r="F243" s="25">
        <v>33.404063999999998</v>
      </c>
      <c r="G243" s="25">
        <v>117.023048</v>
      </c>
      <c r="H243" s="25">
        <v>25.848623</v>
      </c>
      <c r="I243" s="25">
        <v>88.918792999999994</v>
      </c>
      <c r="J243" s="25">
        <v>31.892372000000002</v>
      </c>
      <c r="K243" s="25">
        <v>29.820211</v>
      </c>
      <c r="L243" s="25">
        <v>26486.199218999998</v>
      </c>
      <c r="Z243" s="24">
        <v>44154</v>
      </c>
      <c r="AA243" s="26">
        <v>238</v>
      </c>
      <c r="AB243" s="25">
        <f t="shared" si="27"/>
        <v>0.90131503228232301</v>
      </c>
      <c r="AC243" s="25">
        <f t="shared" si="28"/>
        <v>0.88091721442253146</v>
      </c>
      <c r="AD243" s="25">
        <f t="shared" si="29"/>
        <v>0.90438493372045448</v>
      </c>
      <c r="AE243" s="25">
        <f t="shared" si="30"/>
        <v>0.88811713114484936</v>
      </c>
      <c r="AF243" s="25">
        <f t="shared" si="31"/>
        <v>0.99668175735393394</v>
      </c>
      <c r="AH243" s="25">
        <f t="shared" si="32"/>
        <v>-9.6590501176071764E-3</v>
      </c>
      <c r="AI243" s="25">
        <f t="shared" si="32"/>
        <v>-8.8906444685060704E-3</v>
      </c>
      <c r="AJ243" s="25">
        <f t="shared" si="32"/>
        <v>-6.902896065932973E-3</v>
      </c>
      <c r="AK243" s="25">
        <f t="shared" si="32"/>
        <v>-1.8338520601127728E-3</v>
      </c>
      <c r="AL243" s="25">
        <f t="shared" si="33"/>
        <v>3.5815614380823035E-3</v>
      </c>
    </row>
    <row r="244" spans="1:38" x14ac:dyDescent="0.2">
      <c r="A244" s="24">
        <v>44159</v>
      </c>
      <c r="B244" s="25">
        <v>48.852631000000002</v>
      </c>
      <c r="C244" s="25">
        <v>64.150406000000004</v>
      </c>
      <c r="D244" s="25">
        <v>10.179792000000001</v>
      </c>
      <c r="E244" s="25">
        <v>35.475074999999997</v>
      </c>
      <c r="F244" s="25">
        <v>33.937545999999998</v>
      </c>
      <c r="G244" s="25">
        <v>118.179939</v>
      </c>
      <c r="H244" s="25">
        <v>26.222038000000001</v>
      </c>
      <c r="I244" s="25">
        <v>90.715987999999996</v>
      </c>
      <c r="J244" s="25">
        <v>32.576934999999999</v>
      </c>
      <c r="K244" s="25">
        <v>30.317216999999999</v>
      </c>
      <c r="L244" s="25">
        <v>26588.199218999998</v>
      </c>
      <c r="Z244" s="24">
        <v>44155</v>
      </c>
      <c r="AA244" s="26">
        <v>239</v>
      </c>
      <c r="AB244" s="25">
        <f t="shared" si="27"/>
        <v>0.89265109527466113</v>
      </c>
      <c r="AC244" s="25">
        <f t="shared" si="28"/>
        <v>0.87312000513060795</v>
      </c>
      <c r="AD244" s="25">
        <f t="shared" si="29"/>
        <v>0.89816355598535369</v>
      </c>
      <c r="AE244" s="25">
        <f t="shared" si="30"/>
        <v>0.88648994817671689</v>
      </c>
      <c r="AF244" s="25">
        <f t="shared" si="31"/>
        <v>1.0002578344493247</v>
      </c>
      <c r="AH244" s="25">
        <f t="shared" si="32"/>
        <v>-5.8931912310206808E-3</v>
      </c>
      <c r="AI244" s="25">
        <f t="shared" si="32"/>
        <v>-5.4531181714523869E-3</v>
      </c>
      <c r="AJ244" s="25">
        <f t="shared" si="32"/>
        <v>-7.5472692738420416E-3</v>
      </c>
      <c r="AK244" s="25">
        <f t="shared" si="32"/>
        <v>-1.0675305130752946E-2</v>
      </c>
      <c r="AL244" s="25">
        <f t="shared" si="33"/>
        <v>1.3094688997874471E-3</v>
      </c>
    </row>
    <row r="245" spans="1:38" x14ac:dyDescent="0.2">
      <c r="A245" s="24">
        <v>44160</v>
      </c>
      <c r="B245" s="25">
        <v>49.754921000000003</v>
      </c>
      <c r="C245" s="25">
        <v>63.888568999999997</v>
      </c>
      <c r="D245" s="25">
        <v>10.247210000000001</v>
      </c>
      <c r="E245" s="25">
        <v>37.795451999999997</v>
      </c>
      <c r="F245" s="25">
        <v>33.855468999999999</v>
      </c>
      <c r="G245" s="25">
        <v>121.917564</v>
      </c>
      <c r="H245" s="25">
        <v>27.051846999999999</v>
      </c>
      <c r="I245" s="25">
        <v>91.571799999999996</v>
      </c>
      <c r="J245" s="25">
        <v>33.221226000000001</v>
      </c>
      <c r="K245" s="25">
        <v>31.145557</v>
      </c>
      <c r="L245" s="25">
        <v>26669.75</v>
      </c>
      <c r="Z245" s="24">
        <v>44158</v>
      </c>
      <c r="AA245" s="26">
        <v>240</v>
      </c>
      <c r="AB245" s="25">
        <f t="shared" si="27"/>
        <v>0.88740600201646047</v>
      </c>
      <c r="AC245" s="25">
        <f t="shared" si="28"/>
        <v>0.86837173676542434</v>
      </c>
      <c r="AD245" s="25">
        <f t="shared" si="29"/>
        <v>0.89141038981386933</v>
      </c>
      <c r="AE245" s="25">
        <f t="shared" si="30"/>
        <v>0.87707673136116004</v>
      </c>
      <c r="AF245" s="25">
        <f t="shared" si="31"/>
        <v>1.0015684989252049</v>
      </c>
      <c r="AH245" s="25">
        <f t="shared" si="32"/>
        <v>1.5333590949368189E-2</v>
      </c>
      <c r="AI245" s="25">
        <f t="shared" si="32"/>
        <v>1.4199202405001471E-2</v>
      </c>
      <c r="AJ245" s="25">
        <f t="shared" si="32"/>
        <v>1.3025161896300347E-2</v>
      </c>
      <c r="AK245" s="25">
        <f t="shared" si="32"/>
        <v>7.9479365401386448E-3</v>
      </c>
      <c r="AL245" s="25">
        <f t="shared" si="33"/>
        <v>3.8436658192608775E-3</v>
      </c>
    </row>
    <row r="246" spans="1:38" x14ac:dyDescent="0.2">
      <c r="A246" s="24">
        <v>44161</v>
      </c>
      <c r="B246" s="25">
        <v>49.668990999999998</v>
      </c>
      <c r="C246" s="25">
        <v>63.714016000000001</v>
      </c>
      <c r="D246" s="25">
        <v>10.112378</v>
      </c>
      <c r="E246" s="25">
        <v>37.483092999999997</v>
      </c>
      <c r="F246" s="25">
        <v>33.855468999999999</v>
      </c>
      <c r="G246" s="25">
        <v>121.828552</v>
      </c>
      <c r="H246" s="25">
        <v>26.761413999999998</v>
      </c>
      <c r="I246" s="25">
        <v>89.689018000000004</v>
      </c>
      <c r="J246" s="25">
        <v>32.858809999999998</v>
      </c>
      <c r="K246" s="25">
        <v>30.681683</v>
      </c>
      <c r="L246" s="25">
        <v>26819.449218999998</v>
      </c>
      <c r="Z246" s="24">
        <v>44159</v>
      </c>
      <c r="AA246" s="26">
        <v>241</v>
      </c>
      <c r="AB246" s="25">
        <f t="shared" si="27"/>
        <v>0.90111798093411877</v>
      </c>
      <c r="AC246" s="25">
        <f t="shared" si="28"/>
        <v>0.88078987802714825</v>
      </c>
      <c r="AD246" s="25">
        <f t="shared" si="29"/>
        <v>0.90309709987743336</v>
      </c>
      <c r="AE246" s="25">
        <f t="shared" si="30"/>
        <v>0.88407545743595894</v>
      </c>
      <c r="AF246" s="25">
        <f t="shared" si="31"/>
        <v>1.0054256014881535</v>
      </c>
      <c r="AH246" s="25">
        <f t="shared" si="32"/>
        <v>1.876680971774726E-2</v>
      </c>
      <c r="AI246" s="25">
        <f t="shared" si="32"/>
        <v>1.7986217530538764E-2</v>
      </c>
      <c r="AJ246" s="25">
        <f t="shared" si="32"/>
        <v>6.6064870089611871E-4</v>
      </c>
      <c r="AK246" s="25">
        <f t="shared" si="32"/>
        <v>-3.7935599004799508E-2</v>
      </c>
      <c r="AL246" s="25">
        <f t="shared" si="33"/>
        <v>3.0624853541443287E-3</v>
      </c>
    </row>
    <row r="247" spans="1:38" x14ac:dyDescent="0.2">
      <c r="A247" s="24">
        <v>44162</v>
      </c>
      <c r="B247" s="25">
        <v>49.411194000000002</v>
      </c>
      <c r="C247" s="25">
        <v>63.714016000000001</v>
      </c>
      <c r="D247" s="25">
        <v>10.196649000000001</v>
      </c>
      <c r="E247" s="25">
        <v>37.483092999999997</v>
      </c>
      <c r="F247" s="25">
        <v>33.814438000000003</v>
      </c>
      <c r="G247" s="25">
        <v>122.4515</v>
      </c>
      <c r="H247" s="25">
        <v>26.802902</v>
      </c>
      <c r="I247" s="25">
        <v>90.116928000000001</v>
      </c>
      <c r="J247" s="25">
        <v>33.342030000000001</v>
      </c>
      <c r="K247" s="25">
        <v>30.814216999999999</v>
      </c>
      <c r="L247" s="25">
        <v>26894.679688</v>
      </c>
      <c r="Z247" s="24">
        <v>44160</v>
      </c>
      <c r="AA247" s="26">
        <v>242</v>
      </c>
      <c r="AB247" s="25">
        <f t="shared" si="27"/>
        <v>0.91818877174194047</v>
      </c>
      <c r="AC247" s="25">
        <f t="shared" si="28"/>
        <v>0.89677528392298589</v>
      </c>
      <c r="AD247" s="25">
        <f t="shared" si="29"/>
        <v>0.90369392692805084</v>
      </c>
      <c r="AE247" s="25">
        <f t="shared" si="30"/>
        <v>0.85116569775085826</v>
      </c>
      <c r="AF247" s="25">
        <f t="shared" si="31"/>
        <v>1.0085094223352669</v>
      </c>
      <c r="AH247" s="25">
        <f t="shared" si="32"/>
        <v>-9.1623345882927421E-3</v>
      </c>
      <c r="AI247" s="25">
        <f t="shared" si="32"/>
        <v>-8.213339097356484E-3</v>
      </c>
      <c r="AJ247" s="25">
        <f t="shared" si="32"/>
        <v>-5.2522468378147363E-3</v>
      </c>
      <c r="AK247" s="25">
        <f t="shared" si="32"/>
        <v>4.2629640180890938E-3</v>
      </c>
      <c r="AL247" s="25">
        <f t="shared" si="33"/>
        <v>5.5973771166186737E-3</v>
      </c>
    </row>
    <row r="248" spans="1:38" x14ac:dyDescent="0.2">
      <c r="Z248" s="24">
        <v>44161</v>
      </c>
      <c r="AA248" s="26">
        <v>243</v>
      </c>
      <c r="AB248" s="25">
        <f t="shared" si="27"/>
        <v>0.90981444179071091</v>
      </c>
      <c r="AC248" s="25">
        <f t="shared" si="28"/>
        <v>0.88943992953471573</v>
      </c>
      <c r="AD248" s="25">
        <f t="shared" si="29"/>
        <v>0.89895994625815823</v>
      </c>
      <c r="AE248" s="25">
        <f t="shared" si="30"/>
        <v>0.8548019315540043</v>
      </c>
      <c r="AF248" s="25">
        <f t="shared" si="31"/>
        <v>1.0141702580340539</v>
      </c>
      <c r="AH248" s="25">
        <f t="shared" si="32"/>
        <v>6.4490884696451339E-3</v>
      </c>
      <c r="AI248" s="25">
        <f t="shared" si="32"/>
        <v>5.0500008720424511E-3</v>
      </c>
      <c r="AJ248" s="25">
        <f t="shared" si="32"/>
        <v>3.0737558056598557E-3</v>
      </c>
      <c r="AK248" s="25">
        <f t="shared" si="32"/>
        <v>-5.3970585694871898E-3</v>
      </c>
      <c r="AL248" s="25">
        <f t="shared" si="33"/>
        <v>2.8011444929525453E-3</v>
      </c>
    </row>
    <row r="249" spans="1:38" x14ac:dyDescent="0.2">
      <c r="Z249" s="24">
        <v>44162</v>
      </c>
      <c r="AA249" s="26">
        <v>244</v>
      </c>
      <c r="AB249" s="25">
        <f t="shared" si="27"/>
        <v>0.91570087628343644</v>
      </c>
      <c r="AC249" s="25">
        <f t="shared" si="28"/>
        <v>0.89394296254492711</v>
      </c>
      <c r="AD249" s="25">
        <f t="shared" si="29"/>
        <v>0.90172738064188962</v>
      </c>
      <c r="AE249" s="25">
        <f t="shared" si="30"/>
        <v>0.85020094253592171</v>
      </c>
      <c r="AF249" s="25">
        <f t="shared" si="31"/>
        <v>1.0170150779829925</v>
      </c>
      <c r="AH249" s="29"/>
      <c r="AI249" s="29"/>
      <c r="AJ249" s="29"/>
      <c r="AK249" s="29"/>
      <c r="AL249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Eigencalcs</vt:lpstr>
      <vt:lpstr>PCA</vt:lpstr>
      <vt:lpstr>Backtest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White</dc:creator>
  <cp:lastModifiedBy>Michael K Y WONG</cp:lastModifiedBy>
  <cp:lastPrinted>2011-10-04T19:23:43Z</cp:lastPrinted>
  <dcterms:created xsi:type="dcterms:W3CDTF">1999-10-06T23:05:41Z</dcterms:created>
  <dcterms:modified xsi:type="dcterms:W3CDTF">2023-10-18T13:29:56Z</dcterms:modified>
</cp:coreProperties>
</file>