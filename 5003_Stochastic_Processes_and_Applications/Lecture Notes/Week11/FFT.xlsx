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My Documents\tea\msdm5003\notes22\Week08\"/>
    </mc:Choice>
  </mc:AlternateContent>
  <xr:revisionPtr revIDLastSave="0" documentId="13_ncr:1_{CB332307-0664-49B7-9BC9-B28619CE6ABB}" xr6:coauthVersionLast="47" xr6:coauthVersionMax="47" xr10:uidLastSave="{00000000-0000-0000-0000-000000000000}"/>
  <bookViews>
    <workbookView xWindow="-120" yWindow="-120" windowWidth="29040" windowHeight="15840" xr2:uid="{FA0B643C-63C7-48BD-B00D-A10C211DBB1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" i="1" l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U7" i="1"/>
  <c r="R7" i="1"/>
  <c r="Q7" i="1"/>
  <c r="U6" i="1"/>
  <c r="R6" i="1"/>
  <c r="Q6" i="1"/>
  <c r="U5" i="1"/>
  <c r="R5" i="1"/>
  <c r="Q5" i="1"/>
  <c r="U4" i="1"/>
  <c r="R4" i="1"/>
  <c r="Q4" i="1"/>
  <c r="U3" i="1"/>
  <c r="R3" i="1"/>
  <c r="Q3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B23" i="1"/>
  <c r="B24" i="1"/>
  <c r="B25" i="1"/>
  <c r="B26" i="1"/>
  <c r="B27" i="1"/>
  <c r="B28" i="1"/>
  <c r="B29" i="1"/>
  <c r="B30" i="1"/>
  <c r="B31" i="1"/>
  <c r="B32" i="1"/>
  <c r="B3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<sst xmlns="http://schemas.openxmlformats.org/spreadsheetml/2006/main" count="37" uniqueCount="37">
  <si>
    <t>t</t>
  </si>
  <si>
    <t>x</t>
  </si>
  <si>
    <t>4.59409920359313</t>
  </si>
  <si>
    <t>8.48446023218994-4.63705347812821i</t>
  </si>
  <si>
    <t>1.60587107705528+0.152075203018875i</t>
  </si>
  <si>
    <t>10.4903832520321-11.3965395223965i</t>
  </si>
  <si>
    <t>0.737934381627321+2.91950876576992i</t>
  </si>
  <si>
    <t>4.68923834825401+7.21898219365111E-002i</t>
  </si>
  <si>
    <t>21.4437571485433-5.9539265808474i</t>
  </si>
  <si>
    <t>-16.8367266767869+6.13126380366369i</t>
  </si>
  <si>
    <t>-7.20369834121346+2.74343543330483i</t>
  </si>
  <si>
    <t>-4.98748750633484+1.81504805949019i</t>
  </si>
  <si>
    <t>-4.02124074968559+1.32164335011829i</t>
  </si>
  <si>
    <t>-3.49607892226409+0.988985554287997i</t>
  </si>
  <si>
    <t>-3.18006068896633+0.734440261325684i</t>
  </si>
  <si>
    <t>-2.98223273873708+0.523167233269722i</t>
  </si>
  <si>
    <t>-2.86055796616382+0.337116152220909i</t>
  </si>
  <si>
    <t>-2.79412525963255+0.165315634878398i</t>
  </si>
  <si>
    <t>-2.77297038342748</t>
  </si>
  <si>
    <t>-2.79412525963255-0.165315634878386i</t>
  </si>
  <si>
    <t>-2.86055796616383-0.337116152220894i</t>
  </si>
  <si>
    <t>-2.98223273873708-0.523167233269707i</t>
  </si>
  <si>
    <t>-3.18006068896633-0.734440261325679i</t>
  </si>
  <si>
    <t>-3.4960789222641-0.988985554287986i</t>
  </si>
  <si>
    <t>-4.0212407496856-1.32164335011827i</t>
  </si>
  <si>
    <t>-4.98748750633486-1.81504805949018i</t>
  </si>
  <si>
    <t>-7.20369834121346-2.74343543330483i</t>
  </si>
  <si>
    <t>-16.836726676787-6.13126380366365i</t>
  </si>
  <si>
    <t>21.4437571485433+5.95392658084735i</t>
  </si>
  <si>
    <t>4.68923834825399-7.21898219365342E-002i</t>
  </si>
  <si>
    <t>0.737934381627314-2.91950876576992i</t>
  </si>
  <si>
    <t>10.4903832520321+11.3965395223964i</t>
  </si>
  <si>
    <t>1.60587107705528-0.152075203018867i</t>
  </si>
  <si>
    <t>8.48446023218995+4.63705347812819i</t>
  </si>
  <si>
    <t>FFT</t>
  </si>
  <si>
    <t>Frequency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</si>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</sst>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0</c:v>
                </c:pt>
                <c:pt idx="1">
                  <c:v>2.6142432284652077</c:v>
                </c:pt>
                <c:pt idx="2">
                  <c:v>2.3675038579309575</c:v>
                </c:pt>
                <c:pt idx="3">
                  <c:v>0.1177595646745519</c:v>
                </c:pt>
                <c:pt idx="4">
                  <c:v>-0.89216381754682639</c:v>
                </c:pt>
                <c:pt idx="5">
                  <c:v>0.47552825814757638</c:v>
                </c:pt>
                <c:pt idx="6">
                  <c:v>1.8133411445119698</c:v>
                </c:pt>
                <c:pt idx="7">
                  <c:v>0.71565761365413749</c:v>
                </c:pt>
                <c:pt idx="8">
                  <c:v>-1.6742134946470897</c:v>
                </c:pt>
                <c:pt idx="9">
                  <c:v>-2.1046416634948861</c:v>
                </c:pt>
                <c:pt idx="10">
                  <c:v>0.2938926261462354</c:v>
                </c:pt>
                <c:pt idx="11">
                  <c:v>2.6739605612251172</c:v>
                </c:pt>
                <c:pt idx="12">
                  <c:v>2.1892936376622529</c:v>
                </c:pt>
                <c:pt idx="13">
                  <c:v>-0.28718060507194365</c:v>
                </c:pt>
                <c:pt idx="14">
                  <c:v>-1.4983900566401731</c:v>
                </c:pt>
                <c:pt idx="15">
                  <c:v>-0.29389262614623746</c:v>
                </c:pt>
                <c:pt idx="16">
                  <c:v>0.92907115890993919</c:v>
                </c:pt>
                <c:pt idx="17">
                  <c:v>-0.22789953794321571</c:v>
                </c:pt>
                <c:pt idx="18">
                  <c:v>-2.617770646244443</c:v>
                </c:pt>
                <c:pt idx="19">
                  <c:v>-2.988911649096917</c:v>
                </c:pt>
                <c:pt idx="20">
                  <c:v>-0.47552825814757926</c:v>
                </c:pt>
                <c:pt idx="21">
                  <c:v>2.0677343221317717</c:v>
                </c:pt>
                <c:pt idx="22">
                  <c:v>1.784353467915762</c:v>
                </c:pt>
                <c:pt idx="23">
                  <c:v>-0.46539082534064879</c:v>
                </c:pt>
                <c:pt idx="24">
                  <c:v>-1.4386727238802621</c:v>
                </c:pt>
                <c:pt idx="25">
                  <c:v>-1.960237527853792E-15</c:v>
                </c:pt>
                <c:pt idx="26">
                  <c:v>1.4386727238802615</c:v>
                </c:pt>
                <c:pt idx="27">
                  <c:v>0.46539082534065251</c:v>
                </c:pt>
                <c:pt idx="28">
                  <c:v>-1.7843534679157533</c:v>
                </c:pt>
                <c:pt idx="29">
                  <c:v>-2.0677343221317739</c:v>
                </c:pt>
                <c:pt idx="30">
                  <c:v>0.47552825814757294</c:v>
                </c:pt>
                <c:pt idx="31">
                  <c:v>2.9889116490969148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6-4B36-9AA3-2BA1CE973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958000"/>
        <c:axId val="2126972144"/>
      </c:scatterChart>
      <c:valAx>
        <c:axId val="2126958000"/>
        <c:scaling>
          <c:orientation val="minMax"/>
          <c:max val="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72144"/>
        <c:crosses val="autoZero"/>
        <c:crossBetween val="midCat"/>
      </c:valAx>
      <c:valAx>
        <c:axId val="21269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5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Sheet1!$D$2:$D$33</c:f>
              <c:numCache>
                <c:formatCode>General</c:formatCode>
                <c:ptCount val="32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  <c:pt idx="17">
                  <c:v>0.53125</c:v>
                </c:pt>
                <c:pt idx="18">
                  <c:v>0.5625</c:v>
                </c:pt>
                <c:pt idx="19">
                  <c:v>0.59375</c:v>
                </c:pt>
                <c:pt idx="20">
                  <c:v>0.625</c:v>
                </c:pt>
                <c:pt idx="21">
                  <c:v>0.65625</c:v>
                </c:pt>
                <c:pt idx="22">
                  <c:v>0.6875</c:v>
                </c:pt>
                <c:pt idx="23">
                  <c:v>0.71875</c:v>
                </c:pt>
                <c:pt idx="24">
                  <c:v>0.75</c:v>
                </c:pt>
                <c:pt idx="25">
                  <c:v>0.78125</c:v>
                </c:pt>
                <c:pt idx="26">
                  <c:v>0.8125</c:v>
                </c:pt>
                <c:pt idx="27">
                  <c:v>0.84375</c:v>
                </c:pt>
                <c:pt idx="28">
                  <c:v>0.875</c:v>
                </c:pt>
                <c:pt idx="29">
                  <c:v>0.90625</c:v>
                </c:pt>
                <c:pt idx="30">
                  <c:v>0.9375</c:v>
                </c:pt>
                <c:pt idx="31">
                  <c:v>0.96875</c:v>
                </c:pt>
              </c:numCache>
            </c:numRef>
          </c:xVal>
          <c:yVal>
            <c:numRef>
              <c:f>Sheet1!$F$2:$F$33</c:f>
              <c:numCache>
                <c:formatCode>General</c:formatCode>
                <c:ptCount val="32"/>
                <c:pt idx="0">
                  <c:v>4.5940992035931298</c:v>
                </c:pt>
                <c:pt idx="1">
                  <c:v>9.668936362942592</c:v>
                </c:pt>
                <c:pt idx="2">
                  <c:v>1.6130557285772609</c:v>
                </c:pt>
                <c:pt idx="3">
                  <c:v>15.489649894689713</c:v>
                </c:pt>
                <c:pt idx="4">
                  <c:v>3.0113250546885659</c:v>
                </c:pt>
                <c:pt idx="5">
                  <c:v>4.6897939887725588</c:v>
                </c:pt>
                <c:pt idx="6">
                  <c:v>22.254976126157111</c:v>
                </c:pt>
                <c:pt idx="7">
                  <c:v>17.918363793018163</c:v>
                </c:pt>
                <c:pt idx="8">
                  <c:v>7.7084179808774014</c:v>
                </c:pt>
                <c:pt idx="9">
                  <c:v>5.3074882085695885</c:v>
                </c:pt>
                <c:pt idx="10">
                  <c:v>4.2328617165983369</c:v>
                </c:pt>
                <c:pt idx="11">
                  <c:v>3.6332712886996994</c:v>
                </c:pt>
                <c:pt idx="12">
                  <c:v>3.263769060911808</c:v>
                </c:pt>
                <c:pt idx="13">
                  <c:v>3.0277741101281586</c:v>
                </c:pt>
                <c:pt idx="14">
                  <c:v>2.88035400217951</c:v>
                </c:pt>
                <c:pt idx="15">
                  <c:v>2.7990114729403861</c:v>
                </c:pt>
                <c:pt idx="16">
                  <c:v>2.7729703834274799</c:v>
                </c:pt>
                <c:pt idx="17">
                  <c:v>2.7990114729403857</c:v>
                </c:pt>
                <c:pt idx="18">
                  <c:v>2.880354002179518</c:v>
                </c:pt>
                <c:pt idx="19">
                  <c:v>3.0277741101281559</c:v>
                </c:pt>
                <c:pt idx="20">
                  <c:v>3.2637690609118075</c:v>
                </c:pt>
                <c:pt idx="21">
                  <c:v>3.6332712886997065</c:v>
                </c:pt>
                <c:pt idx="22">
                  <c:v>4.2328617165983413</c:v>
                </c:pt>
                <c:pt idx="23">
                  <c:v>5.3074882085696045</c:v>
                </c:pt>
                <c:pt idx="24">
                  <c:v>7.7084179808774014</c:v>
                </c:pt>
                <c:pt idx="25">
                  <c:v>17.918363793018237</c:v>
                </c:pt>
                <c:pt idx="26">
                  <c:v>22.2549761261571</c:v>
                </c:pt>
                <c:pt idx="27">
                  <c:v>4.6897939887725384</c:v>
                </c:pt>
                <c:pt idx="28">
                  <c:v>3.011325054688565</c:v>
                </c:pt>
                <c:pt idx="29">
                  <c:v>15.489649894689638</c:v>
                </c:pt>
                <c:pt idx="30">
                  <c:v>1.6130557285772598</c:v>
                </c:pt>
                <c:pt idx="31">
                  <c:v>9.6689363629425884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4-49FC-A315-A8C091F0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32208"/>
        <c:axId val="605433456"/>
      </c:scatterChart>
      <c:valAx>
        <c:axId val="605432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(cycles per tick)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33456"/>
        <c:crosses val="autoZero"/>
        <c:crossBetween val="midCat"/>
      </c:valAx>
      <c:valAx>
        <c:axId val="6054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 Fourier Transform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Sheet1!$D$2:$D$18</c:f>
              <c:numCache>
                <c:formatCode>General</c:formatCode>
                <c:ptCount val="17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0.125</c:v>
                </c:pt>
                <c:pt idx="5">
                  <c:v>0.15625</c:v>
                </c:pt>
                <c:pt idx="6">
                  <c:v>0.1875</c:v>
                </c:pt>
                <c:pt idx="7">
                  <c:v>0.21875</c:v>
                </c:pt>
                <c:pt idx="8">
                  <c:v>0.25</c:v>
                </c:pt>
                <c:pt idx="9">
                  <c:v>0.28125</c:v>
                </c:pt>
                <c:pt idx="10">
                  <c:v>0.3125</c:v>
                </c:pt>
                <c:pt idx="11">
                  <c:v>0.34375</c:v>
                </c:pt>
                <c:pt idx="12">
                  <c:v>0.375</c:v>
                </c:pt>
                <c:pt idx="13">
                  <c:v>0.40625</c:v>
                </c:pt>
                <c:pt idx="14">
                  <c:v>0.4375</c:v>
                </c:pt>
                <c:pt idx="15">
                  <c:v>0.46875</c:v>
                </c:pt>
                <c:pt idx="16">
                  <c:v>0.5</c:v>
                </c:pt>
              </c:numCache>
            </c:numRef>
          </c:cat>
          <c:val>
            <c:numRef>
              <c:f>Sheet1!$F$2:$F$18</c:f>
              <c:numCache>
                <c:formatCode>General</c:formatCode>
                <c:ptCount val="17"/>
                <c:pt idx="0">
                  <c:v>4.5940992035931298</c:v>
                </c:pt>
                <c:pt idx="1">
                  <c:v>9.668936362942592</c:v>
                </c:pt>
                <c:pt idx="2">
                  <c:v>1.6130557285772609</c:v>
                </c:pt>
                <c:pt idx="3">
                  <c:v>15.489649894689713</c:v>
                </c:pt>
                <c:pt idx="4">
                  <c:v>3.0113250546885659</c:v>
                </c:pt>
                <c:pt idx="5">
                  <c:v>4.6897939887725588</c:v>
                </c:pt>
                <c:pt idx="6">
                  <c:v>22.254976126157111</c:v>
                </c:pt>
                <c:pt idx="7">
                  <c:v>17.918363793018163</c:v>
                </c:pt>
                <c:pt idx="8">
                  <c:v>7.7084179808774014</c:v>
                </c:pt>
                <c:pt idx="9">
                  <c:v>5.3074882085695885</c:v>
                </c:pt>
                <c:pt idx="10">
                  <c:v>4.2328617165983369</c:v>
                </c:pt>
                <c:pt idx="11">
                  <c:v>3.6332712886996994</c:v>
                </c:pt>
                <c:pt idx="12">
                  <c:v>3.263769060911808</c:v>
                </c:pt>
                <c:pt idx="13">
                  <c:v>3.0277741101281586</c:v>
                </c:pt>
                <c:pt idx="14">
                  <c:v>2.88035400217951</c:v>
                </c:pt>
                <c:pt idx="15">
                  <c:v>2.7990114729403861</c:v>
                </c:pt>
                <c:pt idx="16">
                  <c:v>2.7729703834274799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4-43E9-836A-90F3D0BA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900752"/>
        <c:axId val="2071897840"/>
      </c:barChart>
      <c:catAx>
        <c:axId val="207190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(cycles per tick)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897840"/>
        <c:crosses val="autoZero"/>
        <c:auto val="1"/>
        <c:lblAlgn val="ctr"/>
        <c:lblOffset val="100"/>
        <c:noMultiLvlLbl val="0"/>
      </c:catAx>
      <c:valAx>
        <c:axId val="20718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 f and 1-f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f=1/4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Sheet1!$P$3:$P$43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Sheet1!$Q$3:$Q$43</c:f>
              <c:numCache>
                <c:formatCode>General</c:formatCode>
                <c:ptCount val="41"/>
                <c:pt idx="0">
                  <c:v>1</c:v>
                </c:pt>
                <c:pt idx="1">
                  <c:v>0.98768834059513777</c:v>
                </c:pt>
                <c:pt idx="2">
                  <c:v>0.95105651629515353</c:v>
                </c:pt>
                <c:pt idx="3">
                  <c:v>0.8910065241883679</c:v>
                </c:pt>
                <c:pt idx="4">
                  <c:v>0.80901699437494745</c:v>
                </c:pt>
                <c:pt idx="5">
                  <c:v>0.70710678118654757</c:v>
                </c:pt>
                <c:pt idx="6">
                  <c:v>0.58778525229247314</c:v>
                </c:pt>
                <c:pt idx="7">
                  <c:v>0.4539904997395468</c:v>
                </c:pt>
                <c:pt idx="8">
                  <c:v>0.30901699437494745</c:v>
                </c:pt>
                <c:pt idx="9">
                  <c:v>0.15643446504023092</c:v>
                </c:pt>
                <c:pt idx="10">
                  <c:v>6.1257422745431001E-17</c:v>
                </c:pt>
                <c:pt idx="11">
                  <c:v>-0.15643446504023104</c:v>
                </c:pt>
                <c:pt idx="12">
                  <c:v>-0.30901699437494734</c:v>
                </c:pt>
                <c:pt idx="13">
                  <c:v>-0.45399049973954669</c:v>
                </c:pt>
                <c:pt idx="14">
                  <c:v>-0.58778525229247303</c:v>
                </c:pt>
                <c:pt idx="15">
                  <c:v>-0.70710678118654746</c:v>
                </c:pt>
                <c:pt idx="16">
                  <c:v>-0.80901699437494734</c:v>
                </c:pt>
                <c:pt idx="17">
                  <c:v>-0.89100652418836779</c:v>
                </c:pt>
                <c:pt idx="18">
                  <c:v>-0.95105651629515353</c:v>
                </c:pt>
                <c:pt idx="19">
                  <c:v>-0.98768834059513766</c:v>
                </c:pt>
                <c:pt idx="20">
                  <c:v>-1</c:v>
                </c:pt>
                <c:pt idx="21">
                  <c:v>-0.98768834059513777</c:v>
                </c:pt>
                <c:pt idx="22">
                  <c:v>-0.95105651629515353</c:v>
                </c:pt>
                <c:pt idx="23">
                  <c:v>-0.89100652418836812</c:v>
                </c:pt>
                <c:pt idx="24">
                  <c:v>-0.80901699437494756</c:v>
                </c:pt>
                <c:pt idx="25">
                  <c:v>-0.70710678118654768</c:v>
                </c:pt>
                <c:pt idx="26">
                  <c:v>-0.58778525229247325</c:v>
                </c:pt>
                <c:pt idx="27">
                  <c:v>-0.45399049973954692</c:v>
                </c:pt>
                <c:pt idx="28">
                  <c:v>-0.30901699437494756</c:v>
                </c:pt>
                <c:pt idx="29">
                  <c:v>-0.15643446504023104</c:v>
                </c:pt>
                <c:pt idx="30">
                  <c:v>-1.83772268236293E-16</c:v>
                </c:pt>
                <c:pt idx="31">
                  <c:v>0.15643446504023067</c:v>
                </c:pt>
                <c:pt idx="32">
                  <c:v>0.30901699437494723</c:v>
                </c:pt>
                <c:pt idx="33">
                  <c:v>0.45399049973954664</c:v>
                </c:pt>
                <c:pt idx="34">
                  <c:v>0.58778525229247292</c:v>
                </c:pt>
                <c:pt idx="35">
                  <c:v>0.70710678118654735</c:v>
                </c:pt>
                <c:pt idx="36">
                  <c:v>0.80901699437494734</c:v>
                </c:pt>
                <c:pt idx="37">
                  <c:v>0.89100652418836779</c:v>
                </c:pt>
                <c:pt idx="38">
                  <c:v>0.95105651629515353</c:v>
                </c:pt>
                <c:pt idx="39">
                  <c:v>0.98768834059513766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7-4CB1-A282-CEBAB6DBC3FB}"/>
            </c:ext>
          </c:extLst>
        </c:ser>
        <c:ser>
          <c:idx val="1"/>
          <c:order val="1"/>
          <c:tx>
            <c:v>f=3/4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Sheet1!$P$3:$P$43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Sheet1!$R$3:$R$43</c:f>
              <c:numCache>
                <c:formatCode>General</c:formatCode>
                <c:ptCount val="41"/>
                <c:pt idx="0">
                  <c:v>1</c:v>
                </c:pt>
                <c:pt idx="1">
                  <c:v>0.8910065241883679</c:v>
                </c:pt>
                <c:pt idx="2">
                  <c:v>0.58778525229247314</c:v>
                </c:pt>
                <c:pt idx="3">
                  <c:v>0.15643446504023092</c:v>
                </c:pt>
                <c:pt idx="4">
                  <c:v>-0.30901699437494734</c:v>
                </c:pt>
                <c:pt idx="5">
                  <c:v>-0.70710678118654746</c:v>
                </c:pt>
                <c:pt idx="6">
                  <c:v>-0.95105651629515353</c:v>
                </c:pt>
                <c:pt idx="7">
                  <c:v>-0.98768834059513777</c:v>
                </c:pt>
                <c:pt idx="8">
                  <c:v>-0.80901699437494756</c:v>
                </c:pt>
                <c:pt idx="9">
                  <c:v>-0.45399049973954692</c:v>
                </c:pt>
                <c:pt idx="10">
                  <c:v>-1.83772268236293E-16</c:v>
                </c:pt>
                <c:pt idx="11">
                  <c:v>0.45399049973954664</c:v>
                </c:pt>
                <c:pt idx="12">
                  <c:v>0.80901699437494734</c:v>
                </c:pt>
                <c:pt idx="13">
                  <c:v>0.98768834059513766</c:v>
                </c:pt>
                <c:pt idx="14">
                  <c:v>0.95105651629515364</c:v>
                </c:pt>
                <c:pt idx="15">
                  <c:v>0.70710678118654768</c:v>
                </c:pt>
                <c:pt idx="16">
                  <c:v>0.30901699437494773</c:v>
                </c:pt>
                <c:pt idx="17">
                  <c:v>-0.15643446504022968</c:v>
                </c:pt>
                <c:pt idx="18">
                  <c:v>-0.58778525229247292</c:v>
                </c:pt>
                <c:pt idx="19">
                  <c:v>-0.89100652418836734</c:v>
                </c:pt>
                <c:pt idx="20">
                  <c:v>-1</c:v>
                </c:pt>
                <c:pt idx="21">
                  <c:v>-0.89100652418836768</c:v>
                </c:pt>
                <c:pt idx="22">
                  <c:v>-0.58778525229247347</c:v>
                </c:pt>
                <c:pt idx="23">
                  <c:v>-0.15643446504023217</c:v>
                </c:pt>
                <c:pt idx="24">
                  <c:v>0.30901699437494701</c:v>
                </c:pt>
                <c:pt idx="25">
                  <c:v>0.70710678118654657</c:v>
                </c:pt>
                <c:pt idx="26">
                  <c:v>0.95105651629515342</c:v>
                </c:pt>
                <c:pt idx="27">
                  <c:v>0.98768834059513766</c:v>
                </c:pt>
                <c:pt idx="28">
                  <c:v>0.80901699437494767</c:v>
                </c:pt>
                <c:pt idx="29">
                  <c:v>0.45399049973954808</c:v>
                </c:pt>
                <c:pt idx="30">
                  <c:v>5.51316804708879E-16</c:v>
                </c:pt>
                <c:pt idx="31">
                  <c:v>-0.45399049973954708</c:v>
                </c:pt>
                <c:pt idx="32">
                  <c:v>-0.80901699437494712</c:v>
                </c:pt>
                <c:pt idx="33">
                  <c:v>-0.98768834059513744</c:v>
                </c:pt>
                <c:pt idx="34">
                  <c:v>-0.95105651629515431</c:v>
                </c:pt>
                <c:pt idx="35">
                  <c:v>-0.70710678118654735</c:v>
                </c:pt>
                <c:pt idx="36">
                  <c:v>-0.30901699437494806</c:v>
                </c:pt>
                <c:pt idx="37">
                  <c:v>0.15643446504022931</c:v>
                </c:pt>
                <c:pt idx="38">
                  <c:v>0.58778525229247114</c:v>
                </c:pt>
                <c:pt idx="39">
                  <c:v>0.8910065241883679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67-4CB1-A282-CEBAB6DBC3FB}"/>
            </c:ext>
          </c:extLst>
        </c:ser>
        <c:ser>
          <c:idx val="2"/>
          <c:order val="2"/>
          <c:tx>
            <c:v>Discrete values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Sheet1!$T$3:$T$7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Sheet1!$U$3:$U$7</c:f>
              <c:numCache>
                <c:formatCode>General</c:formatCode>
                <c:ptCount val="5"/>
                <c:pt idx="0">
                  <c:v>1</c:v>
                </c:pt>
                <c:pt idx="1">
                  <c:v>6.1257422745431001E-17</c:v>
                </c:pt>
                <c:pt idx="2">
                  <c:v>-1</c:v>
                </c:pt>
                <c:pt idx="3">
                  <c:v>-1.83772268236293E-16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67-4CB1-A282-CEBAB6DB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257888"/>
        <c:axId val="607257056"/>
      </c:scatterChart>
      <c:valAx>
        <c:axId val="60725788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57056"/>
        <c:crosses val="autoZero"/>
        <c:crossBetween val="midCat"/>
      </c:valAx>
      <c:valAx>
        <c:axId val="6072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5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38100</xdr:colOff>
      <xdr:row>15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8D8726-C800-4BF5-AB78-04113FAAA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38100</xdr:colOff>
      <xdr:row>31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87FF34-2DF7-49BF-9B26-4F7B86AB7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38100</xdr:colOff>
      <xdr:row>47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0C4685-B937-4662-B3A7-32FC8A311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590550</xdr:colOff>
      <xdr:row>9</xdr:row>
      <xdr:rowOff>9524</xdr:rowOff>
    </xdr:from>
    <xdr:to>
      <xdr:col>25</xdr:col>
      <xdr:colOff>628650</xdr:colOff>
      <xdr:row>24</xdr:row>
      <xdr:rowOff>38099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DB3FA25-67FD-4DA9-9D47-0D3589808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y%20Documents/tea/msdm5003/notes22/Week07/Python_files/NYA_histor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YA"/>
      <sheetName val="ACF"/>
      <sheetName val="FF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4D6D-925B-4D04-BF58-5031EAFAB790}">
  <dimension ref="A1:U43"/>
  <sheetViews>
    <sheetView tabSelected="1" zoomScaleNormal="100" workbookViewId="0"/>
  </sheetViews>
  <sheetFormatPr defaultRowHeight="14.25" x14ac:dyDescent="0.45"/>
  <cols>
    <col min="5" max="5" width="37.86328125" customWidth="1"/>
  </cols>
  <sheetData>
    <row r="1" spans="1:21" x14ac:dyDescent="0.45">
      <c r="A1" t="s">
        <v>0</v>
      </c>
      <c r="B1" t="s">
        <v>1</v>
      </c>
      <c r="D1" t="s">
        <v>35</v>
      </c>
      <c r="E1" t="s">
        <v>34</v>
      </c>
      <c r="F1" t="s">
        <v>36</v>
      </c>
    </row>
    <row r="2" spans="1:21" x14ac:dyDescent="0.45">
      <c r="A2">
        <v>0</v>
      </c>
      <c r="B2">
        <f>2*SIN(2*PI()*A2/5)+SIN(2*PI()*A2/10)+0.5*SIN(2*PI()*A2/25)</f>
        <v>0</v>
      </c>
      <c r="D2">
        <v>0</v>
      </c>
      <c r="E2" t="s">
        <v>2</v>
      </c>
      <c r="F2">
        <f>IMABS(E2)</f>
        <v>4.5940992035931298</v>
      </c>
    </row>
    <row r="3" spans="1:21" x14ac:dyDescent="0.45">
      <c r="A3">
        <v>1</v>
      </c>
      <c r="B3">
        <f t="shared" ref="B3:B33" si="0">2*SIN(2*PI()*A3/5)+SIN(2*PI()*A3/10)+0.5*SIN(2*PI()*A3/25)</f>
        <v>2.6142432284652077</v>
      </c>
      <c r="D3">
        <v>3.125E-2</v>
      </c>
      <c r="E3" t="s">
        <v>3</v>
      </c>
      <c r="F3">
        <f t="shared" ref="F3:F33" si="1">IMABS(E3)</f>
        <v>9.668936362942592</v>
      </c>
      <c r="P3">
        <v>0</v>
      </c>
      <c r="Q3">
        <f>COS(2*PI()/4*P3)</f>
        <v>1</v>
      </c>
      <c r="R3">
        <f>COS(2*PI()*3/4*P3)</f>
        <v>1</v>
      </c>
      <c r="T3">
        <v>0</v>
      </c>
      <c r="U3">
        <f>COS(2*PI()/4*T3)</f>
        <v>1</v>
      </c>
    </row>
    <row r="4" spans="1:21" x14ac:dyDescent="0.45">
      <c r="A4">
        <v>2</v>
      </c>
      <c r="B4">
        <f t="shared" si="0"/>
        <v>2.3675038579309575</v>
      </c>
      <c r="D4">
        <v>6.25E-2</v>
      </c>
      <c r="E4" t="s">
        <v>4</v>
      </c>
      <c r="F4">
        <f t="shared" si="1"/>
        <v>1.6130557285772609</v>
      </c>
      <c r="P4">
        <v>0.1</v>
      </c>
      <c r="Q4">
        <f t="shared" ref="Q4:Q43" si="2">COS(2*PI()/4*P4)</f>
        <v>0.98768834059513777</v>
      </c>
      <c r="R4">
        <f t="shared" ref="R4:R43" si="3">COS(2*PI()*3/4*P4)</f>
        <v>0.8910065241883679</v>
      </c>
      <c r="T4">
        <v>1</v>
      </c>
      <c r="U4">
        <f t="shared" ref="U4:U7" si="4">COS(2*PI()/4*T4)</f>
        <v>6.1257422745431001E-17</v>
      </c>
    </row>
    <row r="5" spans="1:21" x14ac:dyDescent="0.45">
      <c r="A5">
        <v>3</v>
      </c>
      <c r="B5">
        <f t="shared" si="0"/>
        <v>0.1177595646745519</v>
      </c>
      <c r="D5">
        <v>9.375E-2</v>
      </c>
      <c r="E5" t="s">
        <v>5</v>
      </c>
      <c r="F5">
        <f t="shared" si="1"/>
        <v>15.489649894689713</v>
      </c>
      <c r="P5">
        <v>0.2</v>
      </c>
      <c r="Q5">
        <f t="shared" si="2"/>
        <v>0.95105651629515353</v>
      </c>
      <c r="R5">
        <f t="shared" si="3"/>
        <v>0.58778525229247314</v>
      </c>
      <c r="T5">
        <v>2</v>
      </c>
      <c r="U5">
        <f t="shared" si="4"/>
        <v>-1</v>
      </c>
    </row>
    <row r="6" spans="1:21" x14ac:dyDescent="0.45">
      <c r="A6">
        <v>4</v>
      </c>
      <c r="B6">
        <f t="shared" si="0"/>
        <v>-0.89216381754682639</v>
      </c>
      <c r="D6">
        <v>0.125</v>
      </c>
      <c r="E6" t="s">
        <v>6</v>
      </c>
      <c r="F6">
        <f t="shared" si="1"/>
        <v>3.0113250546885659</v>
      </c>
      <c r="P6">
        <v>0.3</v>
      </c>
      <c r="Q6">
        <f t="shared" si="2"/>
        <v>0.8910065241883679</v>
      </c>
      <c r="R6">
        <f t="shared" si="3"/>
        <v>0.15643446504023092</v>
      </c>
      <c r="T6">
        <v>3</v>
      </c>
      <c r="U6">
        <f t="shared" si="4"/>
        <v>-1.83772268236293E-16</v>
      </c>
    </row>
    <row r="7" spans="1:21" x14ac:dyDescent="0.45">
      <c r="A7">
        <v>5</v>
      </c>
      <c r="B7">
        <f t="shared" si="0"/>
        <v>0.47552825814757638</v>
      </c>
      <c r="D7">
        <v>0.15625</v>
      </c>
      <c r="E7" t="s">
        <v>7</v>
      </c>
      <c r="F7">
        <f t="shared" si="1"/>
        <v>4.6897939887725588</v>
      </c>
      <c r="P7">
        <v>0.4</v>
      </c>
      <c r="Q7">
        <f t="shared" si="2"/>
        <v>0.80901699437494745</v>
      </c>
      <c r="R7">
        <f t="shared" si="3"/>
        <v>-0.30901699437494734</v>
      </c>
      <c r="T7">
        <v>4</v>
      </c>
      <c r="U7">
        <f t="shared" si="4"/>
        <v>1</v>
      </c>
    </row>
    <row r="8" spans="1:21" x14ac:dyDescent="0.45">
      <c r="A8">
        <v>6</v>
      </c>
      <c r="B8">
        <f t="shared" si="0"/>
        <v>1.8133411445119698</v>
      </c>
      <c r="D8">
        <v>0.1875</v>
      </c>
      <c r="E8" t="s">
        <v>8</v>
      </c>
      <c r="F8">
        <f t="shared" si="1"/>
        <v>22.254976126157111</v>
      </c>
      <c r="P8">
        <v>0.5</v>
      </c>
      <c r="Q8">
        <f t="shared" si="2"/>
        <v>0.70710678118654757</v>
      </c>
      <c r="R8">
        <f t="shared" si="3"/>
        <v>-0.70710678118654746</v>
      </c>
    </row>
    <row r="9" spans="1:21" x14ac:dyDescent="0.45">
      <c r="A9">
        <v>7</v>
      </c>
      <c r="B9">
        <f t="shared" si="0"/>
        <v>0.71565761365413749</v>
      </c>
      <c r="D9">
        <v>0.21875</v>
      </c>
      <c r="E9" t="s">
        <v>9</v>
      </c>
      <c r="F9">
        <f t="shared" si="1"/>
        <v>17.918363793018163</v>
      </c>
      <c r="P9">
        <v>0.6</v>
      </c>
      <c r="Q9">
        <f t="shared" si="2"/>
        <v>0.58778525229247314</v>
      </c>
      <c r="R9">
        <f t="shared" si="3"/>
        <v>-0.95105651629515353</v>
      </c>
    </row>
    <row r="10" spans="1:21" x14ac:dyDescent="0.45">
      <c r="A10">
        <v>8</v>
      </c>
      <c r="B10">
        <f t="shared" si="0"/>
        <v>-1.6742134946470897</v>
      </c>
      <c r="D10">
        <v>0.25</v>
      </c>
      <c r="E10" t="s">
        <v>10</v>
      </c>
      <c r="F10">
        <f t="shared" si="1"/>
        <v>7.7084179808774014</v>
      </c>
      <c r="P10">
        <v>0.7</v>
      </c>
      <c r="Q10">
        <f t="shared" si="2"/>
        <v>0.4539904997395468</v>
      </c>
      <c r="R10">
        <f t="shared" si="3"/>
        <v>-0.98768834059513777</v>
      </c>
    </row>
    <row r="11" spans="1:21" x14ac:dyDescent="0.45">
      <c r="A11">
        <v>9</v>
      </c>
      <c r="B11">
        <f t="shared" si="0"/>
        <v>-2.1046416634948861</v>
      </c>
      <c r="D11">
        <v>0.28125</v>
      </c>
      <c r="E11" t="s">
        <v>11</v>
      </c>
      <c r="F11">
        <f t="shared" si="1"/>
        <v>5.3074882085695885</v>
      </c>
      <c r="P11">
        <v>0.8</v>
      </c>
      <c r="Q11">
        <f t="shared" si="2"/>
        <v>0.30901699437494745</v>
      </c>
      <c r="R11">
        <f t="shared" si="3"/>
        <v>-0.80901699437494756</v>
      </c>
    </row>
    <row r="12" spans="1:21" x14ac:dyDescent="0.45">
      <c r="A12">
        <v>10</v>
      </c>
      <c r="B12">
        <f t="shared" si="0"/>
        <v>0.2938926261462354</v>
      </c>
      <c r="D12">
        <v>0.3125</v>
      </c>
      <c r="E12" t="s">
        <v>12</v>
      </c>
      <c r="F12">
        <f t="shared" si="1"/>
        <v>4.2328617165983369</v>
      </c>
      <c r="P12">
        <v>0.9</v>
      </c>
      <c r="Q12">
        <f t="shared" si="2"/>
        <v>0.15643446504023092</v>
      </c>
      <c r="R12">
        <f t="shared" si="3"/>
        <v>-0.45399049973954692</v>
      </c>
    </row>
    <row r="13" spans="1:21" x14ac:dyDescent="0.45">
      <c r="A13">
        <v>11</v>
      </c>
      <c r="B13">
        <f t="shared" si="0"/>
        <v>2.6739605612251172</v>
      </c>
      <c r="D13">
        <v>0.34375</v>
      </c>
      <c r="E13" t="s">
        <v>13</v>
      </c>
      <c r="F13">
        <f t="shared" si="1"/>
        <v>3.6332712886996994</v>
      </c>
      <c r="P13">
        <v>1</v>
      </c>
      <c r="Q13">
        <f t="shared" si="2"/>
        <v>6.1257422745431001E-17</v>
      </c>
      <c r="R13">
        <f t="shared" si="3"/>
        <v>-1.83772268236293E-16</v>
      </c>
    </row>
    <row r="14" spans="1:21" x14ac:dyDescent="0.45">
      <c r="A14">
        <v>12</v>
      </c>
      <c r="B14">
        <f t="shared" si="0"/>
        <v>2.1892936376622529</v>
      </c>
      <c r="D14">
        <v>0.375</v>
      </c>
      <c r="E14" t="s">
        <v>14</v>
      </c>
      <c r="F14">
        <f t="shared" si="1"/>
        <v>3.263769060911808</v>
      </c>
      <c r="P14">
        <v>1.1000000000000001</v>
      </c>
      <c r="Q14">
        <f t="shared" si="2"/>
        <v>-0.15643446504023104</v>
      </c>
      <c r="R14">
        <f t="shared" si="3"/>
        <v>0.45399049973954664</v>
      </c>
    </row>
    <row r="15" spans="1:21" x14ac:dyDescent="0.45">
      <c r="A15">
        <v>13</v>
      </c>
      <c r="B15">
        <f t="shared" si="0"/>
        <v>-0.28718060507194365</v>
      </c>
      <c r="D15">
        <v>0.40625</v>
      </c>
      <c r="E15" t="s">
        <v>15</v>
      </c>
      <c r="F15">
        <f t="shared" si="1"/>
        <v>3.0277741101281586</v>
      </c>
      <c r="P15">
        <v>1.2</v>
      </c>
      <c r="Q15">
        <f t="shared" si="2"/>
        <v>-0.30901699437494734</v>
      </c>
      <c r="R15">
        <f t="shared" si="3"/>
        <v>0.80901699437494734</v>
      </c>
    </row>
    <row r="16" spans="1:21" x14ac:dyDescent="0.45">
      <c r="A16">
        <v>14</v>
      </c>
      <c r="B16">
        <f t="shared" si="0"/>
        <v>-1.4983900566401731</v>
      </c>
      <c r="D16">
        <v>0.4375</v>
      </c>
      <c r="E16" t="s">
        <v>16</v>
      </c>
      <c r="F16">
        <f t="shared" si="1"/>
        <v>2.88035400217951</v>
      </c>
      <c r="P16">
        <v>1.3</v>
      </c>
      <c r="Q16">
        <f t="shared" si="2"/>
        <v>-0.45399049973954669</v>
      </c>
      <c r="R16">
        <f t="shared" si="3"/>
        <v>0.98768834059513766</v>
      </c>
    </row>
    <row r="17" spans="1:18" x14ac:dyDescent="0.45">
      <c r="A17">
        <v>15</v>
      </c>
      <c r="B17">
        <f t="shared" si="0"/>
        <v>-0.29389262614623746</v>
      </c>
      <c r="D17">
        <v>0.46875</v>
      </c>
      <c r="E17" t="s">
        <v>17</v>
      </c>
      <c r="F17">
        <f t="shared" si="1"/>
        <v>2.7990114729403861</v>
      </c>
      <c r="P17">
        <v>1.4</v>
      </c>
      <c r="Q17">
        <f t="shared" si="2"/>
        <v>-0.58778525229247303</v>
      </c>
      <c r="R17">
        <f t="shared" si="3"/>
        <v>0.95105651629515364</v>
      </c>
    </row>
    <row r="18" spans="1:18" x14ac:dyDescent="0.45">
      <c r="A18">
        <v>16</v>
      </c>
      <c r="B18">
        <f t="shared" si="0"/>
        <v>0.92907115890993919</v>
      </c>
      <c r="D18">
        <v>0.5</v>
      </c>
      <c r="E18" t="s">
        <v>18</v>
      </c>
      <c r="F18">
        <f t="shared" si="1"/>
        <v>2.7729703834274799</v>
      </c>
      <c r="P18">
        <v>1.5</v>
      </c>
      <c r="Q18">
        <f t="shared" si="2"/>
        <v>-0.70710678118654746</v>
      </c>
      <c r="R18">
        <f t="shared" si="3"/>
        <v>0.70710678118654768</v>
      </c>
    </row>
    <row r="19" spans="1:18" x14ac:dyDescent="0.45">
      <c r="A19">
        <v>17</v>
      </c>
      <c r="B19">
        <f t="shared" si="0"/>
        <v>-0.22789953794321571</v>
      </c>
      <c r="D19">
        <v>0.53125</v>
      </c>
      <c r="E19" t="s">
        <v>19</v>
      </c>
      <c r="F19">
        <f t="shared" si="1"/>
        <v>2.7990114729403857</v>
      </c>
      <c r="P19">
        <v>1.6</v>
      </c>
      <c r="Q19">
        <f t="shared" si="2"/>
        <v>-0.80901699437494734</v>
      </c>
      <c r="R19">
        <f t="shared" si="3"/>
        <v>0.30901699437494773</v>
      </c>
    </row>
    <row r="20" spans="1:18" x14ac:dyDescent="0.45">
      <c r="A20">
        <v>18</v>
      </c>
      <c r="B20">
        <f t="shared" si="0"/>
        <v>-2.617770646244443</v>
      </c>
      <c r="D20">
        <v>0.5625</v>
      </c>
      <c r="E20" t="s">
        <v>20</v>
      </c>
      <c r="F20">
        <f t="shared" si="1"/>
        <v>2.880354002179518</v>
      </c>
      <c r="P20">
        <v>1.7</v>
      </c>
      <c r="Q20">
        <f t="shared" si="2"/>
        <v>-0.89100652418836779</v>
      </c>
      <c r="R20">
        <f t="shared" si="3"/>
        <v>-0.15643446504022968</v>
      </c>
    </row>
    <row r="21" spans="1:18" x14ac:dyDescent="0.45">
      <c r="A21">
        <v>19</v>
      </c>
      <c r="B21">
        <f t="shared" si="0"/>
        <v>-2.988911649096917</v>
      </c>
      <c r="D21">
        <v>0.59375</v>
      </c>
      <c r="E21" t="s">
        <v>21</v>
      </c>
      <c r="F21">
        <f t="shared" si="1"/>
        <v>3.0277741101281559</v>
      </c>
      <c r="P21">
        <v>1.8</v>
      </c>
      <c r="Q21">
        <f t="shared" si="2"/>
        <v>-0.95105651629515353</v>
      </c>
      <c r="R21">
        <f t="shared" si="3"/>
        <v>-0.58778525229247292</v>
      </c>
    </row>
    <row r="22" spans="1:18" x14ac:dyDescent="0.45">
      <c r="A22">
        <v>20</v>
      </c>
      <c r="B22">
        <f t="shared" si="0"/>
        <v>-0.47552825814757926</v>
      </c>
      <c r="D22">
        <v>0.625</v>
      </c>
      <c r="E22" t="s">
        <v>22</v>
      </c>
      <c r="F22">
        <f t="shared" si="1"/>
        <v>3.2637690609118075</v>
      </c>
      <c r="P22">
        <v>1.9</v>
      </c>
      <c r="Q22">
        <f t="shared" si="2"/>
        <v>-0.98768834059513766</v>
      </c>
      <c r="R22">
        <f t="shared" si="3"/>
        <v>-0.89100652418836734</v>
      </c>
    </row>
    <row r="23" spans="1:18" x14ac:dyDescent="0.45">
      <c r="A23">
        <v>21</v>
      </c>
      <c r="B23">
        <f t="shared" si="0"/>
        <v>2.0677343221317717</v>
      </c>
      <c r="D23">
        <v>0.65625</v>
      </c>
      <c r="E23" t="s">
        <v>23</v>
      </c>
      <c r="F23">
        <f t="shared" si="1"/>
        <v>3.6332712886997065</v>
      </c>
      <c r="P23">
        <v>2</v>
      </c>
      <c r="Q23">
        <f t="shared" si="2"/>
        <v>-1</v>
      </c>
      <c r="R23">
        <f t="shared" si="3"/>
        <v>-1</v>
      </c>
    </row>
    <row r="24" spans="1:18" x14ac:dyDescent="0.45">
      <c r="A24">
        <v>22</v>
      </c>
      <c r="B24">
        <f t="shared" si="0"/>
        <v>1.784353467915762</v>
      </c>
      <c r="D24">
        <v>0.6875</v>
      </c>
      <c r="E24" t="s">
        <v>24</v>
      </c>
      <c r="F24">
        <f t="shared" si="1"/>
        <v>4.2328617165983413</v>
      </c>
      <c r="P24">
        <v>2.1</v>
      </c>
      <c r="Q24">
        <f t="shared" si="2"/>
        <v>-0.98768834059513777</v>
      </c>
      <c r="R24">
        <f t="shared" si="3"/>
        <v>-0.89100652418836768</v>
      </c>
    </row>
    <row r="25" spans="1:18" x14ac:dyDescent="0.45">
      <c r="A25">
        <v>23</v>
      </c>
      <c r="B25">
        <f t="shared" si="0"/>
        <v>-0.46539082534064879</v>
      </c>
      <c r="D25">
        <v>0.71875</v>
      </c>
      <c r="E25" t="s">
        <v>25</v>
      </c>
      <c r="F25">
        <f t="shared" si="1"/>
        <v>5.3074882085696045</v>
      </c>
      <c r="P25">
        <v>2.2000000000000002</v>
      </c>
      <c r="Q25">
        <f t="shared" si="2"/>
        <v>-0.95105651629515353</v>
      </c>
      <c r="R25">
        <f t="shared" si="3"/>
        <v>-0.58778525229247347</v>
      </c>
    </row>
    <row r="26" spans="1:18" x14ac:dyDescent="0.45">
      <c r="A26">
        <v>24</v>
      </c>
      <c r="B26">
        <f t="shared" si="0"/>
        <v>-1.4386727238802621</v>
      </c>
      <c r="D26">
        <v>0.75</v>
      </c>
      <c r="E26" t="s">
        <v>26</v>
      </c>
      <c r="F26">
        <f t="shared" si="1"/>
        <v>7.7084179808774014</v>
      </c>
      <c r="P26">
        <v>2.2999999999999998</v>
      </c>
      <c r="Q26">
        <f t="shared" si="2"/>
        <v>-0.89100652418836812</v>
      </c>
      <c r="R26">
        <f t="shared" si="3"/>
        <v>-0.15643446504023217</v>
      </c>
    </row>
    <row r="27" spans="1:18" x14ac:dyDescent="0.45">
      <c r="A27">
        <v>25</v>
      </c>
      <c r="B27">
        <f t="shared" si="0"/>
        <v>-1.960237527853792E-15</v>
      </c>
      <c r="D27">
        <v>0.78125</v>
      </c>
      <c r="E27" t="s">
        <v>27</v>
      </c>
      <c r="F27">
        <f t="shared" si="1"/>
        <v>17.918363793018237</v>
      </c>
      <c r="P27">
        <v>2.4</v>
      </c>
      <c r="Q27">
        <f t="shared" si="2"/>
        <v>-0.80901699437494756</v>
      </c>
      <c r="R27">
        <f t="shared" si="3"/>
        <v>0.30901699437494701</v>
      </c>
    </row>
    <row r="28" spans="1:18" x14ac:dyDescent="0.45">
      <c r="A28">
        <v>26</v>
      </c>
      <c r="B28">
        <f t="shared" si="0"/>
        <v>1.4386727238802615</v>
      </c>
      <c r="D28">
        <v>0.8125</v>
      </c>
      <c r="E28" t="s">
        <v>28</v>
      </c>
      <c r="F28">
        <f t="shared" si="1"/>
        <v>22.2549761261571</v>
      </c>
      <c r="P28">
        <v>2.5</v>
      </c>
      <c r="Q28">
        <f t="shared" si="2"/>
        <v>-0.70710678118654768</v>
      </c>
      <c r="R28">
        <f t="shared" si="3"/>
        <v>0.70710678118654657</v>
      </c>
    </row>
    <row r="29" spans="1:18" x14ac:dyDescent="0.45">
      <c r="A29">
        <v>27</v>
      </c>
      <c r="B29">
        <f t="shared" si="0"/>
        <v>0.46539082534065251</v>
      </c>
      <c r="D29">
        <v>0.84375</v>
      </c>
      <c r="E29" t="s">
        <v>29</v>
      </c>
      <c r="F29">
        <f t="shared" si="1"/>
        <v>4.6897939887725384</v>
      </c>
      <c r="P29">
        <v>2.6</v>
      </c>
      <c r="Q29">
        <f t="shared" si="2"/>
        <v>-0.58778525229247325</v>
      </c>
      <c r="R29">
        <f t="shared" si="3"/>
        <v>0.95105651629515342</v>
      </c>
    </row>
    <row r="30" spans="1:18" x14ac:dyDescent="0.45">
      <c r="A30">
        <v>28</v>
      </c>
      <c r="B30">
        <f t="shared" si="0"/>
        <v>-1.7843534679157533</v>
      </c>
      <c r="D30">
        <v>0.875</v>
      </c>
      <c r="E30" t="s">
        <v>30</v>
      </c>
      <c r="F30">
        <f t="shared" si="1"/>
        <v>3.011325054688565</v>
      </c>
      <c r="P30">
        <v>2.7</v>
      </c>
      <c r="Q30">
        <f t="shared" si="2"/>
        <v>-0.45399049973954692</v>
      </c>
      <c r="R30">
        <f t="shared" si="3"/>
        <v>0.98768834059513766</v>
      </c>
    </row>
    <row r="31" spans="1:18" x14ac:dyDescent="0.45">
      <c r="A31">
        <v>29</v>
      </c>
      <c r="B31">
        <f t="shared" si="0"/>
        <v>-2.0677343221317739</v>
      </c>
      <c r="D31">
        <v>0.90625</v>
      </c>
      <c r="E31" t="s">
        <v>31</v>
      </c>
      <c r="F31">
        <f t="shared" si="1"/>
        <v>15.489649894689638</v>
      </c>
      <c r="P31">
        <v>2.8</v>
      </c>
      <c r="Q31">
        <f t="shared" si="2"/>
        <v>-0.30901699437494756</v>
      </c>
      <c r="R31">
        <f t="shared" si="3"/>
        <v>0.80901699437494767</v>
      </c>
    </row>
    <row r="32" spans="1:18" x14ac:dyDescent="0.45">
      <c r="A32">
        <v>30</v>
      </c>
      <c r="B32">
        <f t="shared" si="0"/>
        <v>0.47552825814757294</v>
      </c>
      <c r="D32">
        <v>0.9375</v>
      </c>
      <c r="E32" t="s">
        <v>32</v>
      </c>
      <c r="F32">
        <f t="shared" si="1"/>
        <v>1.6130557285772598</v>
      </c>
      <c r="P32">
        <v>2.9</v>
      </c>
      <c r="Q32">
        <f t="shared" si="2"/>
        <v>-0.15643446504023104</v>
      </c>
      <c r="R32">
        <f t="shared" si="3"/>
        <v>0.45399049973954808</v>
      </c>
    </row>
    <row r="33" spans="1:18" x14ac:dyDescent="0.45">
      <c r="A33">
        <v>31</v>
      </c>
      <c r="B33">
        <f t="shared" si="0"/>
        <v>2.9889116490969148</v>
      </c>
      <c r="D33">
        <v>0.96875</v>
      </c>
      <c r="E33" t="s">
        <v>33</v>
      </c>
      <c r="F33">
        <f t="shared" si="1"/>
        <v>9.6689363629425884</v>
      </c>
      <c r="P33">
        <v>3</v>
      </c>
      <c r="Q33">
        <f t="shared" si="2"/>
        <v>-1.83772268236293E-16</v>
      </c>
      <c r="R33">
        <f t="shared" si="3"/>
        <v>5.51316804708879E-16</v>
      </c>
    </row>
    <row r="34" spans="1:18" x14ac:dyDescent="0.45">
      <c r="P34">
        <v>3.1</v>
      </c>
      <c r="Q34">
        <f t="shared" si="2"/>
        <v>0.15643446504023067</v>
      </c>
      <c r="R34">
        <f t="shared" si="3"/>
        <v>-0.45399049973954708</v>
      </c>
    </row>
    <row r="35" spans="1:18" x14ac:dyDescent="0.45">
      <c r="P35">
        <v>3.2</v>
      </c>
      <c r="Q35">
        <f t="shared" si="2"/>
        <v>0.30901699437494723</v>
      </c>
      <c r="R35">
        <f t="shared" si="3"/>
        <v>-0.80901699437494712</v>
      </c>
    </row>
    <row r="36" spans="1:18" x14ac:dyDescent="0.45">
      <c r="P36">
        <v>3.3</v>
      </c>
      <c r="Q36">
        <f t="shared" si="2"/>
        <v>0.45399049973954664</v>
      </c>
      <c r="R36">
        <f t="shared" si="3"/>
        <v>-0.98768834059513744</v>
      </c>
    </row>
    <row r="37" spans="1:18" x14ac:dyDescent="0.45">
      <c r="P37">
        <v>3.4</v>
      </c>
      <c r="Q37">
        <f t="shared" si="2"/>
        <v>0.58778525229247292</v>
      </c>
      <c r="R37">
        <f t="shared" si="3"/>
        <v>-0.95105651629515431</v>
      </c>
    </row>
    <row r="38" spans="1:18" x14ac:dyDescent="0.45">
      <c r="P38">
        <v>3.5</v>
      </c>
      <c r="Q38">
        <f t="shared" si="2"/>
        <v>0.70710678118654735</v>
      </c>
      <c r="R38">
        <f t="shared" si="3"/>
        <v>-0.70710678118654735</v>
      </c>
    </row>
    <row r="39" spans="1:18" x14ac:dyDescent="0.45">
      <c r="P39">
        <v>3.6</v>
      </c>
      <c r="Q39">
        <f t="shared" si="2"/>
        <v>0.80901699437494734</v>
      </c>
      <c r="R39">
        <f t="shared" si="3"/>
        <v>-0.30901699437494806</v>
      </c>
    </row>
    <row r="40" spans="1:18" x14ac:dyDescent="0.45">
      <c r="P40">
        <v>3.7</v>
      </c>
      <c r="Q40">
        <f t="shared" si="2"/>
        <v>0.89100652418836779</v>
      </c>
      <c r="R40">
        <f t="shared" si="3"/>
        <v>0.15643446504022931</v>
      </c>
    </row>
    <row r="41" spans="1:18" x14ac:dyDescent="0.45">
      <c r="P41">
        <v>3.8</v>
      </c>
      <c r="Q41">
        <f t="shared" si="2"/>
        <v>0.95105651629515353</v>
      </c>
      <c r="R41">
        <f t="shared" si="3"/>
        <v>0.58778525229247114</v>
      </c>
    </row>
    <row r="42" spans="1:18" x14ac:dyDescent="0.45">
      <c r="P42">
        <v>3.9</v>
      </c>
      <c r="Q42">
        <f t="shared" si="2"/>
        <v>0.98768834059513766</v>
      </c>
      <c r="R42">
        <f t="shared" si="3"/>
        <v>0.8910065241883679</v>
      </c>
    </row>
    <row r="43" spans="1:18" x14ac:dyDescent="0.45">
      <c r="P43">
        <v>4</v>
      </c>
      <c r="Q43">
        <f t="shared" si="2"/>
        <v>1</v>
      </c>
      <c r="R43">
        <f t="shared" si="3"/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Michael Kwok Yee</dc:creator>
  <cp:lastModifiedBy>WONG, Michael Kwok Yee</cp:lastModifiedBy>
  <dcterms:created xsi:type="dcterms:W3CDTF">2022-10-18T15:20:50Z</dcterms:created>
  <dcterms:modified xsi:type="dcterms:W3CDTF">2022-10-19T17:52:58Z</dcterms:modified>
</cp:coreProperties>
</file>